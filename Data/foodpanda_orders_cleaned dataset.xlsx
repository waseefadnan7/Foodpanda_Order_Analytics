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Foodpanda Order Analysis\"/>
    </mc:Choice>
  </mc:AlternateContent>
  <xr:revisionPtr revIDLastSave="0" documentId="13_ncr:1_{F210E447-05EE-4F52-B05A-4CD79677D39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odpanda_orders" sheetId="1" r:id="rId1"/>
    <sheet name="Cuisine Mapping" sheetId="2" r:id="rId2"/>
  </sheets>
  <definedNames>
    <definedName name="_xlnm._FilterDatabase" localSheetId="1" hidden="1">'Cuisine Mapping'!$A$1:$B$71</definedName>
    <definedName name="_xlnm._FilterDatabase" localSheetId="0" hidden="1">foodpanda_orders!$A$1:$Q$199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 a="1"/>
  <c r="P3" i="1" s="1"/>
  <c r="P4" i="1" a="1"/>
  <c r="P4" i="1" s="1"/>
  <c r="P5" i="1" a="1"/>
  <c r="P5" i="1" s="1"/>
  <c r="P6" i="1" a="1"/>
  <c r="P6" i="1" s="1"/>
  <c r="P7" i="1" a="1"/>
  <c r="P7" i="1" s="1"/>
  <c r="P8" i="1" a="1"/>
  <c r="P8" i="1" s="1"/>
  <c r="P9" i="1" a="1"/>
  <c r="P9" i="1" s="1"/>
  <c r="P11" i="1" a="1"/>
  <c r="P11" i="1" s="1"/>
  <c r="P12" i="1" a="1"/>
  <c r="P12" i="1" s="1"/>
  <c r="P13" i="1" a="1"/>
  <c r="P13" i="1" s="1"/>
  <c r="P14" i="1" a="1"/>
  <c r="P14" i="1" s="1"/>
  <c r="P17" i="1" a="1"/>
  <c r="P17" i="1" s="1"/>
  <c r="P18" i="1" a="1"/>
  <c r="P18" i="1" s="1"/>
  <c r="P19" i="1" a="1"/>
  <c r="P19" i="1" s="1"/>
  <c r="P22" i="1" a="1"/>
  <c r="P22" i="1" s="1"/>
  <c r="P23" i="1" a="1"/>
  <c r="P23" i="1" s="1"/>
  <c r="P25" i="1" a="1"/>
  <c r="P25" i="1" s="1"/>
  <c r="P26" i="1" a="1"/>
  <c r="P26" i="1" s="1"/>
  <c r="P28" i="1" a="1"/>
  <c r="P28" i="1" s="1"/>
  <c r="P29" i="1" a="1"/>
  <c r="P29" i="1" s="1"/>
  <c r="P30" i="1" a="1"/>
  <c r="P30" i="1" s="1"/>
  <c r="P32" i="1" a="1"/>
  <c r="P32" i="1" s="1"/>
  <c r="P33" i="1" a="1"/>
  <c r="P33" i="1" s="1"/>
  <c r="P35" i="1" a="1"/>
  <c r="P35" i="1" s="1"/>
  <c r="P36" i="1" a="1"/>
  <c r="P36" i="1" s="1"/>
  <c r="P37" i="1" a="1"/>
  <c r="P37" i="1" s="1"/>
  <c r="P38" i="1" a="1"/>
  <c r="P38" i="1" s="1"/>
  <c r="P39" i="1" a="1"/>
  <c r="P39" i="1" s="1"/>
  <c r="P40" i="1" a="1"/>
  <c r="P40" i="1" s="1"/>
  <c r="P41" i="1" a="1"/>
  <c r="P41" i="1" s="1"/>
  <c r="P42" i="1" a="1"/>
  <c r="P42" i="1" s="1"/>
  <c r="P43" i="1" a="1"/>
  <c r="P43" i="1" s="1"/>
  <c r="P44" i="1" a="1"/>
  <c r="P44" i="1" s="1"/>
  <c r="P45" i="1" a="1"/>
  <c r="P45" i="1" s="1"/>
  <c r="P46" i="1" a="1"/>
  <c r="P46" i="1" s="1"/>
  <c r="P47" i="1" a="1"/>
  <c r="P47" i="1" s="1"/>
  <c r="P48" i="1" a="1"/>
  <c r="P48" i="1" s="1"/>
  <c r="P50" i="1" a="1"/>
  <c r="P50" i="1" s="1"/>
  <c r="P51" i="1" a="1"/>
  <c r="P51" i="1" s="1"/>
  <c r="P52" i="1" a="1"/>
  <c r="P52" i="1" s="1"/>
  <c r="P53" i="1" a="1"/>
  <c r="P53" i="1" s="1"/>
  <c r="P54" i="1" a="1"/>
  <c r="P54" i="1" s="1"/>
  <c r="P55" i="1" a="1"/>
  <c r="P55" i="1" s="1"/>
  <c r="P56" i="1" a="1"/>
  <c r="P56" i="1" s="1"/>
  <c r="P57" i="1" a="1"/>
  <c r="P57" i="1" s="1"/>
  <c r="P58" i="1" a="1"/>
  <c r="P58" i="1" s="1"/>
  <c r="P59" i="1" a="1"/>
  <c r="P59" i="1" s="1"/>
  <c r="P60" i="1" a="1"/>
  <c r="P60" i="1" s="1"/>
  <c r="P61" i="1" a="1"/>
  <c r="P61" i="1" s="1"/>
  <c r="P62" i="1" a="1"/>
  <c r="P62" i="1" s="1"/>
  <c r="P63" i="1" a="1"/>
  <c r="P63" i="1" s="1"/>
  <c r="P64" i="1" a="1"/>
  <c r="P64" i="1" s="1"/>
  <c r="P65" i="1" a="1"/>
  <c r="P65" i="1" s="1"/>
  <c r="P66" i="1" a="1"/>
  <c r="P66" i="1" s="1"/>
  <c r="P68" i="1" a="1"/>
  <c r="P68" i="1" s="1"/>
  <c r="P69" i="1" a="1"/>
  <c r="P69" i="1" s="1"/>
  <c r="P70" i="1" a="1"/>
  <c r="P70" i="1" s="1"/>
  <c r="P71" i="1" a="1"/>
  <c r="P71" i="1" s="1"/>
  <c r="P72" i="1" a="1"/>
  <c r="P72" i="1" s="1"/>
  <c r="P73" i="1" a="1"/>
  <c r="P73" i="1" s="1"/>
  <c r="P74" i="1" a="1"/>
  <c r="P74" i="1" s="1"/>
  <c r="P75" i="1" a="1"/>
  <c r="P75" i="1" s="1"/>
  <c r="P76" i="1" a="1"/>
  <c r="P76" i="1" s="1"/>
  <c r="P77" i="1" a="1"/>
  <c r="P77" i="1" s="1"/>
  <c r="P79" i="1" a="1"/>
  <c r="P79" i="1" s="1"/>
  <c r="P80" i="1" a="1"/>
  <c r="P80" i="1" s="1"/>
  <c r="P81" i="1" a="1"/>
  <c r="P81" i="1" s="1"/>
  <c r="P83" i="1" a="1"/>
  <c r="P83" i="1" s="1"/>
  <c r="P85" i="1" a="1"/>
  <c r="P85" i="1" s="1"/>
  <c r="P86" i="1" a="1"/>
  <c r="P86" i="1" s="1"/>
  <c r="P87" i="1" a="1"/>
  <c r="P87" i="1" s="1"/>
  <c r="P88" i="1" a="1"/>
  <c r="P88" i="1" s="1"/>
  <c r="P89" i="1" a="1"/>
  <c r="P89" i="1" s="1"/>
  <c r="P90" i="1" a="1"/>
  <c r="P90" i="1" s="1"/>
  <c r="P91" i="1" a="1"/>
  <c r="P91" i="1" s="1"/>
  <c r="P93" i="1" a="1"/>
  <c r="P93" i="1" s="1"/>
  <c r="P95" i="1" a="1"/>
  <c r="P95" i="1" s="1"/>
  <c r="P96" i="1" a="1"/>
  <c r="P96" i="1" s="1"/>
  <c r="P97" i="1" a="1"/>
  <c r="P97" i="1" s="1"/>
  <c r="P98" i="1" a="1"/>
  <c r="P98" i="1" s="1"/>
  <c r="P99" i="1" a="1"/>
  <c r="P99" i="1" s="1"/>
  <c r="P101" i="1" a="1"/>
  <c r="P101" i="1" s="1"/>
  <c r="P102" i="1" a="1"/>
  <c r="P102" i="1" s="1"/>
  <c r="P103" i="1" a="1"/>
  <c r="P103" i="1" s="1"/>
  <c r="P104" i="1" a="1"/>
  <c r="P104" i="1" s="1"/>
  <c r="P105" i="1" a="1"/>
  <c r="P105" i="1" s="1"/>
  <c r="P106" i="1" a="1"/>
  <c r="P106" i="1" s="1"/>
  <c r="P107" i="1" a="1"/>
  <c r="P107" i="1" s="1"/>
  <c r="P110" i="1" a="1"/>
  <c r="P110" i="1" s="1"/>
  <c r="P112" i="1" a="1"/>
  <c r="P112" i="1" s="1"/>
  <c r="P115" i="1" a="1"/>
  <c r="P115" i="1" s="1"/>
  <c r="P116" i="1" a="1"/>
  <c r="P116" i="1" s="1"/>
  <c r="P117" i="1" a="1"/>
  <c r="P117" i="1" s="1"/>
  <c r="P118" i="1" a="1"/>
  <c r="P118" i="1" s="1"/>
  <c r="P121" i="1" a="1"/>
  <c r="P121" i="1" s="1"/>
  <c r="P122" i="1" a="1"/>
  <c r="P122" i="1" s="1"/>
  <c r="P123" i="1" a="1"/>
  <c r="P123" i="1" s="1"/>
  <c r="P124" i="1" a="1"/>
  <c r="P124" i="1" s="1"/>
  <c r="P125" i="1" a="1"/>
  <c r="P125" i="1" s="1"/>
  <c r="P126" i="1" a="1"/>
  <c r="P126" i="1" s="1"/>
  <c r="P127" i="1" a="1"/>
  <c r="P127" i="1" s="1"/>
  <c r="P128" i="1" a="1"/>
  <c r="P128" i="1" s="1"/>
  <c r="P129" i="1" a="1"/>
  <c r="P129" i="1" s="1"/>
  <c r="P130" i="1" a="1"/>
  <c r="P130" i="1" s="1"/>
  <c r="P131" i="1" a="1"/>
  <c r="P131" i="1" s="1"/>
  <c r="P132" i="1" a="1"/>
  <c r="P132" i="1" s="1"/>
  <c r="P133" i="1" a="1"/>
  <c r="P133" i="1" s="1"/>
  <c r="P134" i="1" a="1"/>
  <c r="P134" i="1" s="1"/>
  <c r="P135" i="1" a="1"/>
  <c r="P135" i="1" s="1"/>
  <c r="P138" i="1" a="1"/>
  <c r="P138" i="1" s="1"/>
  <c r="P140" i="1" a="1"/>
  <c r="P140" i="1" s="1"/>
  <c r="P141" i="1" a="1"/>
  <c r="P141" i="1" s="1"/>
  <c r="P142" i="1" a="1"/>
  <c r="P142" i="1" s="1"/>
  <c r="P143" i="1" a="1"/>
  <c r="P143" i="1" s="1"/>
  <c r="P144" i="1" a="1"/>
  <c r="P144" i="1" s="1"/>
  <c r="P145" i="1" a="1"/>
  <c r="P145" i="1" s="1"/>
  <c r="P146" i="1" a="1"/>
  <c r="P146" i="1" s="1"/>
  <c r="P147" i="1" a="1"/>
  <c r="P147" i="1" s="1"/>
  <c r="P148" i="1" a="1"/>
  <c r="P148" i="1" s="1"/>
  <c r="P149" i="1" a="1"/>
  <c r="P149" i="1" s="1"/>
  <c r="P150" i="1" a="1"/>
  <c r="P150" i="1" s="1"/>
  <c r="P151" i="1" a="1"/>
  <c r="P151" i="1" s="1"/>
  <c r="P152" i="1" a="1"/>
  <c r="P152" i="1" s="1"/>
  <c r="P153" i="1" a="1"/>
  <c r="P153" i="1" s="1"/>
  <c r="P155" i="1" a="1"/>
  <c r="P155" i="1" s="1"/>
  <c r="P156" i="1" a="1"/>
  <c r="P156" i="1" s="1"/>
  <c r="P157" i="1" a="1"/>
  <c r="P157" i="1" s="1"/>
  <c r="P158" i="1" a="1"/>
  <c r="P158" i="1" s="1"/>
  <c r="P159" i="1" a="1"/>
  <c r="P159" i="1" s="1"/>
  <c r="P160" i="1" a="1"/>
  <c r="P160" i="1" s="1"/>
  <c r="P161" i="1" a="1"/>
  <c r="P161" i="1" s="1"/>
  <c r="P162" i="1" a="1"/>
  <c r="P162" i="1" s="1"/>
  <c r="P163" i="1" a="1"/>
  <c r="P163" i="1" s="1"/>
  <c r="P164" i="1" a="1"/>
  <c r="P164" i="1" s="1"/>
  <c r="P165" i="1" a="1"/>
  <c r="P165" i="1" s="1"/>
  <c r="P166" i="1" a="1"/>
  <c r="P166" i="1" s="1"/>
  <c r="P167" i="1" a="1"/>
  <c r="P167" i="1" s="1"/>
  <c r="P169" i="1" a="1"/>
  <c r="P169" i="1" s="1"/>
  <c r="P170" i="1" a="1"/>
  <c r="P170" i="1" s="1"/>
  <c r="P171" i="1" a="1"/>
  <c r="P171" i="1" s="1"/>
  <c r="P172" i="1" a="1"/>
  <c r="P172" i="1" s="1"/>
  <c r="P173" i="1" a="1"/>
  <c r="P173" i="1" s="1"/>
  <c r="P174" i="1" a="1"/>
  <c r="P174" i="1" s="1"/>
  <c r="P175" i="1" a="1"/>
  <c r="P175" i="1" s="1"/>
  <c r="P177" i="1" a="1"/>
  <c r="P177" i="1" s="1"/>
  <c r="P178" i="1" a="1"/>
  <c r="P178" i="1" s="1"/>
  <c r="P179" i="1" a="1"/>
  <c r="P179" i="1" s="1"/>
  <c r="P180" i="1" a="1"/>
  <c r="P180" i="1" s="1"/>
  <c r="P181" i="1" a="1"/>
  <c r="P181" i="1" s="1"/>
  <c r="P182" i="1" a="1"/>
  <c r="P182" i="1" s="1"/>
  <c r="P183" i="1" a="1"/>
  <c r="P183" i="1" s="1"/>
  <c r="P185" i="1" a="1"/>
  <c r="P185" i="1" s="1"/>
  <c r="P187" i="1" a="1"/>
  <c r="P187" i="1" s="1"/>
  <c r="P188" i="1" a="1"/>
  <c r="P188" i="1" s="1"/>
  <c r="P189" i="1" a="1"/>
  <c r="P189" i="1" s="1"/>
  <c r="P190" i="1" a="1"/>
  <c r="P190" i="1" s="1"/>
  <c r="P191" i="1" a="1"/>
  <c r="P191" i="1" s="1"/>
  <c r="P192" i="1" a="1"/>
  <c r="P192" i="1" s="1"/>
  <c r="P194" i="1" a="1"/>
  <c r="P194" i="1" s="1"/>
  <c r="P195" i="1" a="1"/>
  <c r="P195" i="1" s="1"/>
  <c r="P198" i="1" a="1"/>
  <c r="P198" i="1" s="1"/>
  <c r="P199" i="1" a="1"/>
  <c r="P199" i="1" s="1"/>
  <c r="P2" i="1" a="1"/>
  <c r="P2" i="1" s="1"/>
  <c r="N3" i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N19" i="1" a="1"/>
  <c r="N19" i="1" s="1"/>
  <c r="N20" i="1" a="1"/>
  <c r="N20" i="1" s="1"/>
  <c r="N21" i="1" a="1"/>
  <c r="N21" i="1" s="1"/>
  <c r="N22" i="1" a="1"/>
  <c r="N22" i="1" s="1"/>
  <c r="N23" i="1" a="1"/>
  <c r="N23" i="1" s="1"/>
  <c r="N24" i="1" a="1"/>
  <c r="N24" i="1" s="1"/>
  <c r="N25" i="1" a="1"/>
  <c r="N25" i="1" s="1"/>
  <c r="N26" i="1" a="1"/>
  <c r="N26" i="1" s="1"/>
  <c r="N27" i="1" a="1"/>
  <c r="N27" i="1" s="1"/>
  <c r="N28" i="1" a="1"/>
  <c r="N28" i="1" s="1"/>
  <c r="N29" i="1" a="1"/>
  <c r="N29" i="1" s="1"/>
  <c r="N30" i="1" a="1"/>
  <c r="N30" i="1" s="1"/>
  <c r="N31" i="1" a="1"/>
  <c r="N31" i="1" s="1"/>
  <c r="N32" i="1" a="1"/>
  <c r="N32" i="1" s="1"/>
  <c r="N33" i="1" a="1"/>
  <c r="N33" i="1" s="1"/>
  <c r="N34" i="1" a="1"/>
  <c r="N34" i="1" s="1"/>
  <c r="N35" i="1" a="1"/>
  <c r="N35" i="1" s="1"/>
  <c r="N36" i="1" a="1"/>
  <c r="N36" i="1" s="1"/>
  <c r="N37" i="1" a="1"/>
  <c r="N37" i="1" s="1"/>
  <c r="N38" i="1" a="1"/>
  <c r="N38" i="1" s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 s="1"/>
  <c r="N45" i="1" a="1"/>
  <c r="N45" i="1" s="1"/>
  <c r="N46" i="1" a="1"/>
  <c r="N46" i="1" s="1"/>
  <c r="N47" i="1" a="1"/>
  <c r="N47" i="1" s="1"/>
  <c r="N48" i="1" a="1"/>
  <c r="N48" i="1" s="1"/>
  <c r="N49" i="1" a="1"/>
  <c r="N49" i="1" s="1"/>
  <c r="N50" i="1" a="1"/>
  <c r="N50" i="1" s="1"/>
  <c r="N51" i="1" a="1"/>
  <c r="N51" i="1" s="1"/>
  <c r="N52" i="1" a="1"/>
  <c r="N52" i="1" s="1"/>
  <c r="N53" i="1" a="1"/>
  <c r="N53" i="1" s="1"/>
  <c r="N54" i="1" a="1"/>
  <c r="N54" i="1" s="1"/>
  <c r="N55" i="1" a="1"/>
  <c r="N55" i="1" s="1"/>
  <c r="N56" i="1" a="1"/>
  <c r="N56" i="1" s="1"/>
  <c r="N57" i="1" a="1"/>
  <c r="N57" i="1" s="1"/>
  <c r="N58" i="1" a="1"/>
  <c r="N58" i="1" s="1"/>
  <c r="N59" i="1" a="1"/>
  <c r="N59" i="1" s="1"/>
  <c r="N60" i="1" a="1"/>
  <c r="N60" i="1" s="1"/>
  <c r="N61" i="1" a="1"/>
  <c r="N61" i="1" s="1"/>
  <c r="N62" i="1" a="1"/>
  <c r="N62" i="1" s="1"/>
  <c r="N63" i="1" a="1"/>
  <c r="N63" i="1" s="1"/>
  <c r="N64" i="1" a="1"/>
  <c r="N64" i="1" s="1"/>
  <c r="N65" i="1" a="1"/>
  <c r="N65" i="1" s="1"/>
  <c r="N66" i="1" a="1"/>
  <c r="N66" i="1" s="1"/>
  <c r="N67" i="1" a="1"/>
  <c r="N67" i="1" s="1"/>
  <c r="N68" i="1" a="1"/>
  <c r="N68" i="1" s="1"/>
  <c r="N69" i="1" a="1"/>
  <c r="N69" i="1" s="1"/>
  <c r="N70" i="1" a="1"/>
  <c r="N70" i="1" s="1"/>
  <c r="N71" i="1" a="1"/>
  <c r="N71" i="1" s="1"/>
  <c r="N72" i="1" a="1"/>
  <c r="N72" i="1" s="1"/>
  <c r="N73" i="1" a="1"/>
  <c r="N73" i="1" s="1"/>
  <c r="N74" i="1" a="1"/>
  <c r="N74" i="1" s="1"/>
  <c r="N75" i="1" a="1"/>
  <c r="N75" i="1" s="1"/>
  <c r="N76" i="1" a="1"/>
  <c r="N76" i="1" s="1"/>
  <c r="N77" i="1" a="1"/>
  <c r="N77" i="1" s="1"/>
  <c r="N78" i="1" a="1"/>
  <c r="N78" i="1" s="1"/>
  <c r="N79" i="1" a="1"/>
  <c r="N79" i="1" s="1"/>
  <c r="N80" i="1" a="1"/>
  <c r="N80" i="1" s="1"/>
  <c r="N81" i="1" a="1"/>
  <c r="N81" i="1" s="1"/>
  <c r="N82" i="1" a="1"/>
  <c r="N82" i="1" s="1"/>
  <c r="N83" i="1" a="1"/>
  <c r="N83" i="1" s="1"/>
  <c r="N84" i="1" a="1"/>
  <c r="N84" i="1" s="1"/>
  <c r="N85" i="1" a="1"/>
  <c r="N85" i="1" s="1"/>
  <c r="N86" i="1" a="1"/>
  <c r="N86" i="1" s="1"/>
  <c r="N87" i="1" a="1"/>
  <c r="N87" i="1" s="1"/>
  <c r="N88" i="1" a="1"/>
  <c r="N88" i="1" s="1"/>
  <c r="N89" i="1" a="1"/>
  <c r="N89" i="1" s="1"/>
  <c r="N90" i="1" a="1"/>
  <c r="N90" i="1" s="1"/>
  <c r="N91" i="1" a="1"/>
  <c r="N91" i="1" s="1"/>
  <c r="N92" i="1" a="1"/>
  <c r="N92" i="1" s="1"/>
  <c r="N93" i="1" a="1"/>
  <c r="N93" i="1" s="1"/>
  <c r="N94" i="1" a="1"/>
  <c r="N94" i="1" s="1"/>
  <c r="N95" i="1" a="1"/>
  <c r="N95" i="1" s="1"/>
  <c r="N96" i="1" a="1"/>
  <c r="N96" i="1" s="1"/>
  <c r="N97" i="1" a="1"/>
  <c r="N97" i="1" s="1"/>
  <c r="N98" i="1" a="1"/>
  <c r="N98" i="1" s="1"/>
  <c r="N99" i="1" a="1"/>
  <c r="N99" i="1" s="1"/>
  <c r="N100" i="1" a="1"/>
  <c r="N100" i="1" s="1"/>
  <c r="N101" i="1" a="1"/>
  <c r="N101" i="1" s="1"/>
  <c r="N102" i="1" a="1"/>
  <c r="N102" i="1" s="1"/>
  <c r="N103" i="1" a="1"/>
  <c r="N103" i="1" s="1"/>
  <c r="N104" i="1" a="1"/>
  <c r="N104" i="1" s="1"/>
  <c r="N105" i="1" a="1"/>
  <c r="N105" i="1" s="1"/>
  <c r="N106" i="1" a="1"/>
  <c r="N106" i="1" s="1"/>
  <c r="N107" i="1" a="1"/>
  <c r="N107" i="1" s="1"/>
  <c r="N108" i="1" a="1"/>
  <c r="N108" i="1" s="1"/>
  <c r="N109" i="1" a="1"/>
  <c r="N109" i="1" s="1"/>
  <c r="N110" i="1" a="1"/>
  <c r="N110" i="1" s="1"/>
  <c r="N111" i="1" a="1"/>
  <c r="N111" i="1" s="1"/>
  <c r="N112" i="1" a="1"/>
  <c r="N112" i="1" s="1"/>
  <c r="N113" i="1" a="1"/>
  <c r="N113" i="1" s="1"/>
  <c r="N114" i="1" a="1"/>
  <c r="N114" i="1" s="1"/>
  <c r="N115" i="1" a="1"/>
  <c r="N115" i="1" s="1"/>
  <c r="N116" i="1" a="1"/>
  <c r="N116" i="1" s="1"/>
  <c r="N117" i="1" a="1"/>
  <c r="N117" i="1" s="1"/>
  <c r="N118" i="1" a="1"/>
  <c r="N118" i="1" s="1"/>
  <c r="N119" i="1" a="1"/>
  <c r="N119" i="1" s="1"/>
  <c r="N120" i="1" a="1"/>
  <c r="N120" i="1" s="1"/>
  <c r="N121" i="1" a="1"/>
  <c r="N121" i="1" s="1"/>
  <c r="N122" i="1" a="1"/>
  <c r="N122" i="1" s="1"/>
  <c r="N123" i="1" a="1"/>
  <c r="N123" i="1" s="1"/>
  <c r="N124" i="1" a="1"/>
  <c r="N124" i="1" s="1"/>
  <c r="N125" i="1" a="1"/>
  <c r="N125" i="1" s="1"/>
  <c r="N126" i="1" a="1"/>
  <c r="N126" i="1" s="1"/>
  <c r="N127" i="1" a="1"/>
  <c r="N127" i="1" s="1"/>
  <c r="N128" i="1" a="1"/>
  <c r="N128" i="1" s="1"/>
  <c r="N129" i="1" a="1"/>
  <c r="N129" i="1" s="1"/>
  <c r="N130" i="1" a="1"/>
  <c r="N130" i="1" s="1"/>
  <c r="N131" i="1" a="1"/>
  <c r="N131" i="1" s="1"/>
  <c r="N132" i="1" a="1"/>
  <c r="N132" i="1" s="1"/>
  <c r="N133" i="1" a="1"/>
  <c r="N133" i="1" s="1"/>
  <c r="N134" i="1" a="1"/>
  <c r="N134" i="1" s="1"/>
  <c r="N135" i="1" a="1"/>
  <c r="N135" i="1" s="1"/>
  <c r="N136" i="1" a="1"/>
  <c r="N136" i="1" s="1"/>
  <c r="N137" i="1" a="1"/>
  <c r="N137" i="1" s="1"/>
  <c r="N138" i="1" a="1"/>
  <c r="N138" i="1" s="1"/>
  <c r="N139" i="1" a="1"/>
  <c r="N139" i="1" s="1"/>
  <c r="N140" i="1" a="1"/>
  <c r="N140" i="1" s="1"/>
  <c r="N141" i="1" a="1"/>
  <c r="N141" i="1" s="1"/>
  <c r="N142" i="1" a="1"/>
  <c r="N142" i="1" s="1"/>
  <c r="N143" i="1" a="1"/>
  <c r="N143" i="1" s="1"/>
  <c r="N144" i="1" a="1"/>
  <c r="N144" i="1" s="1"/>
  <c r="N145" i="1" a="1"/>
  <c r="N145" i="1" s="1"/>
  <c r="N146" i="1" a="1"/>
  <c r="N146" i="1" s="1"/>
  <c r="N147" i="1" a="1"/>
  <c r="N147" i="1" s="1"/>
  <c r="N148" i="1" a="1"/>
  <c r="N148" i="1" s="1"/>
  <c r="N149" i="1" a="1"/>
  <c r="N149" i="1" s="1"/>
  <c r="N150" i="1" a="1"/>
  <c r="N150" i="1" s="1"/>
  <c r="N151" i="1" a="1"/>
  <c r="N151" i="1" s="1"/>
  <c r="N152" i="1" a="1"/>
  <c r="N152" i="1" s="1"/>
  <c r="N153" i="1" a="1"/>
  <c r="N153" i="1" s="1"/>
  <c r="N154" i="1" a="1"/>
  <c r="N154" i="1" s="1"/>
  <c r="N155" i="1" a="1"/>
  <c r="N155" i="1" s="1"/>
  <c r="N156" i="1" a="1"/>
  <c r="N156" i="1" s="1"/>
  <c r="N157" i="1" a="1"/>
  <c r="N157" i="1" s="1"/>
  <c r="N158" i="1" a="1"/>
  <c r="N158" i="1" s="1"/>
  <c r="N159" i="1" a="1"/>
  <c r="N159" i="1" s="1"/>
  <c r="N160" i="1" a="1"/>
  <c r="N160" i="1" s="1"/>
  <c r="N161" i="1" a="1"/>
  <c r="N161" i="1" s="1"/>
  <c r="N162" i="1" a="1"/>
  <c r="N162" i="1" s="1"/>
  <c r="N163" i="1" a="1"/>
  <c r="N163" i="1" s="1"/>
  <c r="N164" i="1" a="1"/>
  <c r="N164" i="1" s="1"/>
  <c r="N165" i="1" a="1"/>
  <c r="N165" i="1" s="1"/>
  <c r="N166" i="1" a="1"/>
  <c r="N166" i="1" s="1"/>
  <c r="N167" i="1" a="1"/>
  <c r="N167" i="1" s="1"/>
  <c r="N168" i="1" a="1"/>
  <c r="N168" i="1" s="1"/>
  <c r="N169" i="1" a="1"/>
  <c r="N169" i="1" s="1"/>
  <c r="N170" i="1" a="1"/>
  <c r="N170" i="1" s="1"/>
  <c r="N171" i="1" a="1"/>
  <c r="N171" i="1" s="1"/>
  <c r="N172" i="1" a="1"/>
  <c r="N172" i="1" s="1"/>
  <c r="N173" i="1" a="1"/>
  <c r="N173" i="1" s="1"/>
  <c r="N174" i="1" a="1"/>
  <c r="N174" i="1" s="1"/>
  <c r="N175" i="1" a="1"/>
  <c r="N175" i="1" s="1"/>
  <c r="N176" i="1" a="1"/>
  <c r="N176" i="1" s="1"/>
  <c r="N177" i="1" a="1"/>
  <c r="N177" i="1" s="1"/>
  <c r="N178" i="1" a="1"/>
  <c r="N178" i="1" s="1"/>
  <c r="N179" i="1" a="1"/>
  <c r="N179" i="1" s="1"/>
  <c r="N180" i="1" a="1"/>
  <c r="N180" i="1" s="1"/>
  <c r="N181" i="1" a="1"/>
  <c r="N181" i="1" s="1"/>
  <c r="N182" i="1" a="1"/>
  <c r="N182" i="1" s="1"/>
  <c r="N183" i="1" a="1"/>
  <c r="N183" i="1" s="1"/>
  <c r="N184" i="1" a="1"/>
  <c r="N184" i="1" s="1"/>
  <c r="N185" i="1" a="1"/>
  <c r="N185" i="1" s="1"/>
  <c r="N186" i="1" a="1"/>
  <c r="N186" i="1" s="1"/>
  <c r="N187" i="1" a="1"/>
  <c r="N187" i="1" s="1"/>
  <c r="N188" i="1" a="1"/>
  <c r="N188" i="1" s="1"/>
  <c r="N189" i="1" a="1"/>
  <c r="N189" i="1" s="1"/>
  <c r="N190" i="1" a="1"/>
  <c r="N190" i="1" s="1"/>
  <c r="N191" i="1" a="1"/>
  <c r="N191" i="1" s="1"/>
  <c r="N192" i="1" a="1"/>
  <c r="N192" i="1" s="1"/>
  <c r="N193" i="1" a="1"/>
  <c r="N193" i="1" s="1"/>
  <c r="N194" i="1" a="1"/>
  <c r="N194" i="1" s="1"/>
  <c r="N195" i="1" a="1"/>
  <c r="N195" i="1" s="1"/>
  <c r="N196" i="1" a="1"/>
  <c r="N196" i="1" s="1"/>
  <c r="N197" i="1" a="1"/>
  <c r="N197" i="1" s="1"/>
  <c r="N198" i="1" a="1"/>
  <c r="N198" i="1" s="1"/>
  <c r="N199" i="1" a="1"/>
  <c r="N199" i="1" s="1"/>
  <c r="N2" i="1" a="1"/>
  <c r="N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<sst xmlns="http://schemas.openxmlformats.org/spreadsheetml/2006/main" count="1976" uniqueCount="874">
  <si>
    <t>Sl No</t>
  </si>
  <si>
    <t>Restaurant Names</t>
  </si>
  <si>
    <t>Day</t>
  </si>
  <si>
    <t>Date</t>
  </si>
  <si>
    <t>Time</t>
  </si>
  <si>
    <t>Service Status (Pick-up/Delivery)</t>
  </si>
  <si>
    <t>Order ID</t>
  </si>
  <si>
    <t>Price</t>
  </si>
  <si>
    <t>Items Line 1</t>
  </si>
  <si>
    <t>Item Line 2</t>
  </si>
  <si>
    <t>Item Line 3</t>
  </si>
  <si>
    <t>Ratings</t>
  </si>
  <si>
    <t>Tue</t>
  </si>
  <si>
    <t>Pick-up</t>
  </si>
  <si>
    <t xml:space="preserve"> Order #xykb-2620-q1j9 </t>
  </si>
  <si>
    <t xml:space="preserve"> 1x Grilled Chicken, </t>
  </si>
  <si>
    <t xml:space="preserve"> 1x Grilled Chicken </t>
  </si>
  <si>
    <t>Sun</t>
  </si>
  <si>
    <t>Delivery</t>
  </si>
  <si>
    <t xml:space="preserve"> Order #s6hq-2619-bp07 </t>
  </si>
  <si>
    <t xml:space="preserve"> 1x Ekushe Platter </t>
  </si>
  <si>
    <t>-</t>
  </si>
  <si>
    <t>Cancelled</t>
  </si>
  <si>
    <t>Wed</t>
  </si>
  <si>
    <t xml:space="preserve"> Order #xykb-2619-lnvq </t>
  </si>
  <si>
    <t xml:space="preserve"> 2x Plain Naan </t>
  </si>
  <si>
    <t xml:space="preserve"> Order #ge20-2619-3sma </t>
  </si>
  <si>
    <t xml:space="preserve"> 1x Chicken Cheese Burger, </t>
  </si>
  <si>
    <t xml:space="preserve"> 1x French Fries </t>
  </si>
  <si>
    <t xml:space="preserve"> Cancelled on Wed, May 6, 12:26 AM </t>
  </si>
  <si>
    <t xml:space="preserve"> 1x Twelve 30 Special Burger </t>
  </si>
  <si>
    <t>Fri</t>
  </si>
  <si>
    <t xml:space="preserve"> Order #dpzp-2618-00ku </t>
  </si>
  <si>
    <t xml:space="preserve"> 1x Chicken &amp; Bacon House Burger </t>
  </si>
  <si>
    <t xml:space="preserve"> Order #rl1p-2618-c1e1 </t>
  </si>
  <si>
    <t xml:space="preserve"> 1x Beef Tehari </t>
  </si>
  <si>
    <t>Mon</t>
  </si>
  <si>
    <t xml:space="preserve"> Order #sxmo-2618-rhzn </t>
  </si>
  <si>
    <t xml:space="preserve"> 2x Hot and Lemony Chicken Rice Bowl </t>
  </si>
  <si>
    <t xml:space="preserve"> Order #dpzp-2617-95j4 </t>
  </si>
  <si>
    <t xml:space="preserve"> 1x Chicken Pops, </t>
  </si>
  <si>
    <t xml:space="preserve"> 1x Mexican Hot &amp; Spicy Nachos </t>
  </si>
  <si>
    <t xml:space="preserve"> Order #dpzp-2616-8ka3 </t>
  </si>
  <si>
    <t xml:space="preserve"> 1x Beef Caramel Mushroom Thrill Burger </t>
  </si>
  <si>
    <t xml:space="preserve"> Order #dpzp-2616-o5a3 </t>
  </si>
  <si>
    <t xml:space="preserve"> 1x Beef &amp; Bacon House Burger </t>
  </si>
  <si>
    <t>Thu</t>
  </si>
  <si>
    <t xml:space="preserve"> Order #oo81-2616-anwk </t>
  </si>
  <si>
    <t xml:space="preserve"> 1x Polao with Chicken Angara </t>
  </si>
  <si>
    <t xml:space="preserve"> Order #nqh7-2616-792w </t>
  </si>
  <si>
    <t xml:space="preserve"> 1x Beef Butter Masala </t>
  </si>
  <si>
    <t>Sat</t>
  </si>
  <si>
    <t xml:space="preserve"> Order #s9vx-2615-8lmf </t>
  </si>
  <si>
    <t xml:space="preserve"> 1x Signature Beef, </t>
  </si>
  <si>
    <t xml:space="preserve"> 1x Signature Chicken, </t>
  </si>
  <si>
    <t xml:space="preserve"> 1x Paneer Sticks </t>
  </si>
  <si>
    <t xml:space="preserve"> Order #maw2-2614-9q2q </t>
  </si>
  <si>
    <t xml:space="preserve"> 1x Parmilcious Fried Chicken </t>
  </si>
  <si>
    <t xml:space="preserve"> Order #oid3-2614-4f3z </t>
  </si>
  <si>
    <t xml:space="preserve"> 1x Nashville Hot Dirty Fries, </t>
  </si>
  <si>
    <t xml:space="preserve"> 1x OG Dirty Fries</t>
  </si>
  <si>
    <t xml:space="preserve"> Order #xykb-2613-zw5u </t>
  </si>
  <si>
    <t xml:space="preserve"> 3x Plain Naan </t>
  </si>
  <si>
    <t xml:space="preserve"> Order #s3ac-2613-0vu5 </t>
  </si>
  <si>
    <t xml:space="preserve"> 1x Crispy Chicken Burger, </t>
  </si>
  <si>
    <t xml:space="preserve"> 1x Fish Tots </t>
  </si>
  <si>
    <t xml:space="preserve"> Order #yxgi-2613-yngh </t>
  </si>
  <si>
    <t xml:space="preserve"> 1x XXL Fried Chicken - Smokey Lime, </t>
  </si>
  <si>
    <t xml:space="preserve"> 1x Fried Rice, </t>
  </si>
  <si>
    <t xml:space="preserve"> 1x Coleslaw </t>
  </si>
  <si>
    <t xml:space="preserve"> Order #s9vx-2613-aw3z </t>
  </si>
  <si>
    <t xml:space="preserve"> 1x Bomb Fries </t>
  </si>
  <si>
    <t xml:space="preserve"> Order #s6ka-2612-dqvm </t>
  </si>
  <si>
    <t xml:space="preserve"> 1x Bestseller Combo </t>
  </si>
  <si>
    <t xml:space="preserve"> Order #maw2-2612-r97a </t>
  </si>
  <si>
    <t xml:space="preserve"> 1x Classic Crispy Chicken Burger </t>
  </si>
  <si>
    <t xml:space="preserve"> Order #ds3b-2612-ecel </t>
  </si>
  <si>
    <t xml:space="preserve"> 1x Honeyfire Chicken, </t>
  </si>
  <si>
    <t xml:space="preserve"> 1x Parmesan Fries </t>
  </si>
  <si>
    <t xml:space="preserve"> Order #s9vx-2611-va7x </t>
  </si>
  <si>
    <t xml:space="preserve"> 1x Bomb Fries, </t>
  </si>
  <si>
    <t xml:space="preserve"> 1x OG Cheez Fries </t>
  </si>
  <si>
    <t xml:space="preserve"> Order #scgo-2611-s99d </t>
  </si>
  <si>
    <t xml:space="preserve"> 2x Chicken Cashewnut Salad </t>
  </si>
  <si>
    <t xml:space="preserve"> Order #tjf4-2611-r24g </t>
  </si>
  <si>
    <t xml:space="preserve"> 1x Meaty Mighty Box - 1 </t>
  </si>
  <si>
    <t xml:space="preserve"> Order #quzt-2610-5kx1 </t>
  </si>
  <si>
    <t xml:space="preserve"> 1x Shahi Morog Polao, </t>
  </si>
  <si>
    <t xml:space="preserve"> 1x Nawabi Crumb Roast </t>
  </si>
  <si>
    <t xml:space="preserve"> Order #dpzp-2610-nbbi </t>
  </si>
  <si>
    <t xml:space="preserve"> 1x Peri Peri French Fries, </t>
  </si>
  <si>
    <t xml:space="preserve"> 1x Double Decker Chicken Burger </t>
  </si>
  <si>
    <t xml:space="preserve"> Order #oqd6-2609-jlcp </t>
  </si>
  <si>
    <t xml:space="preserve"> 1x Cashewnut Salad </t>
  </si>
  <si>
    <t xml:space="preserve"> Order #s6ka-2608-eq70 </t>
  </si>
  <si>
    <t xml:space="preserve"> 1x Cheezy Garlic Bread, </t>
  </si>
  <si>
    <t xml:space="preserve"> 1x Spicy Sausage Garlic </t>
  </si>
  <si>
    <t xml:space="preserve"> Order #quzt-2607-xcvm </t>
  </si>
  <si>
    <t xml:space="preserve"> 2x Biye Bari Khana </t>
  </si>
  <si>
    <t xml:space="preserve"> Order #ikbd-2606-muhi </t>
  </si>
  <si>
    <t xml:space="preserve"> 2x Morog Polao </t>
  </si>
  <si>
    <t xml:space="preserve"> Order #quzt-2605-wfcm </t>
  </si>
  <si>
    <t xml:space="preserve"> 1x Classic Chicken Biryani, </t>
  </si>
  <si>
    <t xml:space="preserve"> 1x Shahi Jorda </t>
  </si>
  <si>
    <t xml:space="preserve"> Order #ml4c-2605-go58 </t>
  </si>
  <si>
    <t xml:space="preserve"> 1x Mad Kacchi, </t>
  </si>
  <si>
    <t xml:space="preserve"> 1x Chicken Tikka Jali Kebab </t>
  </si>
  <si>
    <t xml:space="preserve"> Order #s3ac-2605-kv1c </t>
  </si>
  <si>
    <t xml:space="preserve"> 1x Double Decker Chicken Burger, </t>
  </si>
  <si>
    <t xml:space="preserve"> 1x Fried Chicken </t>
  </si>
  <si>
    <t xml:space="preserve"> Order #ds3b-2604-75k5 </t>
  </si>
  <si>
    <t xml:space="preserve"> 1x All American BBQ Bacon Beef Burger, </t>
  </si>
  <si>
    <t xml:space="preserve"> Order #ds3b-2604-nfv0 </t>
  </si>
  <si>
    <t xml:space="preserve"> 1x Mustard Drizzled Beef Burger, </t>
  </si>
  <si>
    <t xml:space="preserve"> Order #sxmo-2604-f1pl </t>
  </si>
  <si>
    <t xml:space="preserve"> 1x Crispy Chicken Popcorn </t>
  </si>
  <si>
    <t xml:space="preserve"> Order #rwgg-2603-xm8g </t>
  </si>
  <si>
    <t xml:space="preserve"> 1x Beef Lal Bhuna </t>
  </si>
  <si>
    <t xml:space="preserve"> Order #xykb-2602-v587 </t>
  </si>
  <si>
    <t xml:space="preserve"> 4x Butter Naan, </t>
  </si>
  <si>
    <t xml:space="preserve"> 1x Shahi Special Parata </t>
  </si>
  <si>
    <t xml:space="preserve"> Order #it4x-2602-ab40 </t>
  </si>
  <si>
    <t xml:space="preserve"> 1x Shorisha Beef Khichuri, </t>
  </si>
  <si>
    <t xml:space="preserve"> Order #fejm-2601-dles </t>
  </si>
  <si>
    <t xml:space="preserve"> 1x Honey Garlic Chicken Rice Bowl, </t>
  </si>
  <si>
    <t xml:space="preserve"> 1x Chicken Katsu Fried Rice, </t>
  </si>
  <si>
    <t xml:space="preserve"> 1x Egg Butter Fried Rice </t>
  </si>
  <si>
    <t xml:space="preserve"> Order #e2yz-2601-a7m0 </t>
  </si>
  <si>
    <t xml:space="preserve"> 1x The Original Beef Burger </t>
  </si>
  <si>
    <t xml:space="preserve"> Order #s8sf-2552-laho </t>
  </si>
  <si>
    <t xml:space="preserve"> 1x Chicken Nachos, </t>
  </si>
  <si>
    <t xml:space="preserve"> 1x Double Patty Black Star, </t>
  </si>
  <si>
    <t xml:space="preserve"> 1x Hot &amp; Crispy Burger </t>
  </si>
  <si>
    <t xml:space="preserve"> Order #xykb-2550-qsx0 </t>
  </si>
  <si>
    <t xml:space="preserve"> 5x Plain Naan </t>
  </si>
  <si>
    <t xml:space="preserve"> Order #n7ph-2550-o0nl </t>
  </si>
  <si>
    <t xml:space="preserve"> 1x German Butcher Beef Italian Meatball 22-25 Pieces 250g, </t>
  </si>
  <si>
    <t xml:space="preserve"> 1x German Butcher Chicken White Meatball 22-25 Pieces 250g </t>
  </si>
  <si>
    <t xml:space="preserve"> Order #dtop-2549-wcjz </t>
  </si>
  <si>
    <t xml:space="preserve"> 1x Lahori Beef Karahi </t>
  </si>
  <si>
    <t xml:space="preserve"> Order #uluj-2548-3irt </t>
  </si>
  <si>
    <t xml:space="preserve"> 1x Crab And Cream Cheese Rangoon, </t>
  </si>
  <si>
    <t xml:space="preserve"> 1x Sriracha Chicken with Mushroom, </t>
  </si>
  <si>
    <t xml:space="preserve"> 2x Corn Fried Rice </t>
  </si>
  <si>
    <t xml:space="preserve"> Order #xta5-2546-vwis </t>
  </si>
  <si>
    <t xml:space="preserve"> 1x Chicken Fried Rice, </t>
  </si>
  <si>
    <t xml:space="preserve"> 1x Chicken Nanban </t>
  </si>
  <si>
    <t xml:space="preserve"> Order #po31-2545-6l2e </t>
  </si>
  <si>
    <t xml:space="preserve"> 1x Chicken Cheesy Sub, </t>
  </si>
  <si>
    <t xml:space="preserve"> 1x Beef Blast Burger </t>
  </si>
  <si>
    <t xml:space="preserve"> Order #bymi-2545-yu4d </t>
  </si>
  <si>
    <t xml:space="preserve"> 2x Chicken Delight Burger </t>
  </si>
  <si>
    <t xml:space="preserve"> Order #c376-2544-2gtd </t>
  </si>
  <si>
    <t xml:space="preserve"> 1x Margherita, </t>
  </si>
  <si>
    <t xml:space="preserve"> 1x Salsiccia Piccante</t>
  </si>
  <si>
    <t xml:space="preserve"> Order #vbpl-2544-tim2 </t>
  </si>
  <si>
    <t xml:space="preserve"> 2x Coca Cola Zero Can 250ml, </t>
  </si>
  <si>
    <t xml:space="preserve"> 1x Golden Harvest Chicken Meatball (400g) 35 Pieces </t>
  </si>
  <si>
    <t xml:space="preserve"> Order #oqd6-2543-8ggp </t>
  </si>
  <si>
    <t xml:space="preserve"> 1x Crispy Fries Big Bucket Fun 2 </t>
  </si>
  <si>
    <t xml:space="preserve"> Order #mgt1-2543-mvyd </t>
  </si>
  <si>
    <t xml:space="preserve"> 1x Chicken Doner </t>
  </si>
  <si>
    <t xml:space="preserve"> Order #s3ma-2543-tp3j </t>
  </si>
  <si>
    <t xml:space="preserve"> 1x Double Chicken Burger </t>
  </si>
  <si>
    <t xml:space="preserve"> Order #po31-2542-7vhp </t>
  </si>
  <si>
    <t xml:space="preserve"> 1x Beef Burger, </t>
  </si>
  <si>
    <t xml:space="preserve"> 1x Chicken Burger </t>
  </si>
  <si>
    <t xml:space="preserve"> Order #bymi-2542-yrni </t>
  </si>
  <si>
    <t xml:space="preserve"> 1x Chicken Delight Burger </t>
  </si>
  <si>
    <t xml:space="preserve"> Order #x3df-2541-27ji </t>
  </si>
  <si>
    <t xml:space="preserve"> 1x Chocolate Indulgence (Mega) - Slice </t>
  </si>
  <si>
    <t xml:space="preserve"> Order #n7ph-2541-o4i9 </t>
  </si>
  <si>
    <t xml:space="preserve"> 1x Chopstick Ramen Hot Cheese 8 Pieces Pack 640g </t>
  </si>
  <si>
    <t xml:space="preserve"> Order #z0se-2540-3u0u </t>
  </si>
  <si>
    <t xml:space="preserve"> 1x Chick Room Burger, </t>
  </si>
  <si>
    <t xml:space="preserve"> 1x Beef Cheese Burger, </t>
  </si>
  <si>
    <t xml:space="preserve"> 1x Hot Chips </t>
  </si>
  <si>
    <t xml:space="preserve"> Order #x3df-2540-ojwu </t>
  </si>
  <si>
    <t xml:space="preserve"> Order #hevp-2538-qtbw </t>
  </si>
  <si>
    <t xml:space="preserve"> 1x Beef Sheek Kebab, </t>
  </si>
  <si>
    <t xml:space="preserve"> 2x Bombay Paratha, </t>
  </si>
  <si>
    <t xml:space="preserve"> 2x Butter Naan </t>
  </si>
  <si>
    <t xml:space="preserve"> Order #xykb-2538-wt37 </t>
  </si>
  <si>
    <t xml:space="preserve"> 2x Chicken Shawarma </t>
  </si>
  <si>
    <t xml:space="preserve"> Order #p5fz-2537-wv02 </t>
  </si>
  <si>
    <t xml:space="preserve"> Order #waua-2536-5dra </t>
  </si>
  <si>
    <t xml:space="preserve"> 2x BBQ Chicken Rice Platter</t>
  </si>
  <si>
    <t xml:space="preserve"> Order #s3ma-2535-glgx </t>
  </si>
  <si>
    <t xml:space="preserve"> 1x Double Beef Burger </t>
  </si>
  <si>
    <t xml:space="preserve"> Order #yeua-2535-kuv7 </t>
  </si>
  <si>
    <t xml:space="preserve"> 2x Morog Polao with Egg </t>
  </si>
  <si>
    <t xml:space="preserve"> Order #t6qy-2534-rknf </t>
  </si>
  <si>
    <t xml:space="preserve"> 1x BBQ Smokey Pizza, </t>
  </si>
  <si>
    <t xml:space="preserve"> 1x Cheese Pepperoni Pizza </t>
  </si>
  <si>
    <t xml:space="preserve"> Order #t3da-2534-m38r </t>
  </si>
  <si>
    <t xml:space="preserve"> 1x Four Seasons Pizza, </t>
  </si>
  <si>
    <t xml:space="preserve"> 1x Supreme Pizza </t>
  </si>
  <si>
    <t xml:space="preserve"> Order #aiup-2532-qm2d </t>
  </si>
  <si>
    <t xml:space="preserve"> 4x Nissin Gekikara Ramen Pass Hot Carbo - 81 gm </t>
  </si>
  <si>
    <t xml:space="preserve"> Order #aiup-2532-i6li </t>
  </si>
  <si>
    <t xml:space="preserve"> 2x Nissin Gekikara Ramen Pass Hot Carbo - 81 gm </t>
  </si>
  <si>
    <t xml:space="preserve"> Order #eku5-2531-5n14 </t>
  </si>
  <si>
    <t xml:space="preserve"> 1x Fried Prawn, </t>
  </si>
  <si>
    <t xml:space="preserve"> 1x Shoan Papri, </t>
  </si>
  <si>
    <t xml:space="preserve"> 1x Prawn Tempura </t>
  </si>
  <si>
    <t xml:space="preserve"> Order #nkd6-2531-l67g </t>
  </si>
  <si>
    <t xml:space="preserve"> 2x Plain Polao with Chicken Roast &amp; Borhani - 1:1, </t>
  </si>
  <si>
    <t xml:space="preserve"> 1x Jorda </t>
  </si>
  <si>
    <t xml:space="preserve"> Order #vbpl-2531-s7gh </t>
  </si>
  <si>
    <t xml:space="preserve"> 28x Lays American Style Cream &amp; Onion 12g, </t>
  </si>
  <si>
    <t xml:space="preserve"> 2x Bombay Sweets Dalmoth Chanachur 150g, </t>
  </si>
  <si>
    <t xml:space="preserve"> 5x Pran Dal 25g (Â±5g) </t>
  </si>
  <si>
    <t xml:space="preserve"> Order #vgah-2530-0uto </t>
  </si>
  <si>
    <t xml:space="preserve"> 1x Quick Meal Alu Paratha Box </t>
  </si>
  <si>
    <t xml:space="preserve"> Order #u6ys-2530-dj6h </t>
  </si>
  <si>
    <t xml:space="preserve"> 1x Spicy Crispy Fried Chicken, </t>
  </si>
  <si>
    <t xml:space="preserve"> 1x Best Burger, </t>
  </si>
  <si>
    <t xml:space="preserve"> Order #t7ml-2529-zy6e </t>
  </si>
  <si>
    <t xml:space="preserve"> 2x Mutton Tehari </t>
  </si>
  <si>
    <t xml:space="preserve"> Order #aiup-2529-o2d1 </t>
  </si>
  <si>
    <t xml:space="preserve"> 2x (Buy 2 Get 1) Buy 2 Nissin Gekikara Ramen Hot Carbonara 120 gm FREE: One Nissin Gekikara Ramen Hot Carbonara 120 gm </t>
  </si>
  <si>
    <t xml:space="preserve"> Order #vbpl-2528-o4gp </t>
  </si>
  <si>
    <t xml:space="preserve"> 2x Mehran Haleem Masala 50g, </t>
  </si>
  <si>
    <t xml:space="preserve"> 2x Radhuni Halim Mix 200g, </t>
  </si>
  <si>
    <t xml:space="preserve"> 2x Doodles Korean Ramen 8 Pieces </t>
  </si>
  <si>
    <t xml:space="preserve"> Order #n7ph-2527-5h5g </t>
  </si>
  <si>
    <t xml:space="preserve"> 2x German Butcher Chicken Sausage Cooked 10 Pieces 300g </t>
  </si>
  <si>
    <t xml:space="preserve"> Order #rl1p-2527-vfb2 </t>
  </si>
  <si>
    <t xml:space="preserve"> Order #s3ac-2525-qk43 </t>
  </si>
  <si>
    <t xml:space="preserve"> 1x Chicken Cheese Blast, </t>
  </si>
  <si>
    <t xml:space="preserve"> Order #u0ay-2525-7nht </t>
  </si>
  <si>
    <t xml:space="preserve"> 1x Coleslaw - Large, </t>
  </si>
  <si>
    <t xml:space="preserve"> 1x Chicken Mini Strips - 20 pcs </t>
  </si>
  <si>
    <t xml:space="preserve"> Order #o8w8-2524-x0mb </t>
  </si>
  <si>
    <t xml:space="preserve"> 1x Double Decker Beef Burger </t>
  </si>
  <si>
    <t xml:space="preserve"> Order #s9ek-2523-c9dz </t>
  </si>
  <si>
    <t xml:space="preserve"> 1x Chicken Boti Kebab </t>
  </si>
  <si>
    <t xml:space="preserve"> Order #s9ek-2523-pzuu </t>
  </si>
  <si>
    <t xml:space="preserve"> 1x Fried Squid, </t>
  </si>
  <si>
    <t xml:space="preserve"> Order #s8sf-2523-8le8 </t>
  </si>
  <si>
    <t xml:space="preserve"> 1x BBQ Chicken Cheese Burger, </t>
  </si>
  <si>
    <t xml:space="preserve"> 1x Black Star </t>
  </si>
  <si>
    <t xml:space="preserve"> Order #qbps-2522-8qnb </t>
  </si>
  <si>
    <t xml:space="preserve"> 1x Butter Naan, </t>
  </si>
  <si>
    <t xml:space="preserve"> 1x Plain Naan, </t>
  </si>
  <si>
    <t xml:space="preserve"> 1x Tandoori Chicken Tikka </t>
  </si>
  <si>
    <t xml:space="preserve"> Order #n0z3-2522-ainx </t>
  </si>
  <si>
    <t xml:space="preserve"> 3x Plain Naan, </t>
  </si>
  <si>
    <t xml:space="preserve"> 1x Shahi Paratha </t>
  </si>
  <si>
    <t xml:space="preserve"> Order #pukl-2522-xfrg </t>
  </si>
  <si>
    <t xml:space="preserve"> 1x Chicken Chedarolla, </t>
  </si>
  <si>
    <t xml:space="preserve"> 1x Buffalo Chicken Wrap </t>
  </si>
  <si>
    <t xml:space="preserve"> Order #vbpl-2521-0yhy </t>
  </si>
  <si>
    <t xml:space="preserve"> 1x Chopstick Ramen Hot Cheese 8 Pieces Pack 640g, </t>
  </si>
  <si>
    <t xml:space="preserve"> 1x German Butcher Chicken Sausage Cooked 10 Pieces 300g </t>
  </si>
  <si>
    <t xml:space="preserve"> Order #xxas-2521-utqj </t>
  </si>
  <si>
    <t xml:space="preserve"> 2x Spice &amp; Honey Mustard, </t>
  </si>
  <si>
    <t xml:space="preserve"> 1x Cheese Inside, </t>
  </si>
  <si>
    <t xml:space="preserve"> 1x The Big Beef </t>
  </si>
  <si>
    <t xml:space="preserve"> Order #p5fz-2521-hgsh </t>
  </si>
  <si>
    <t xml:space="preserve"> 5x Beef Tehari </t>
  </si>
  <si>
    <t xml:space="preserve"> Order #ufr5-2521-9hux </t>
  </si>
  <si>
    <t xml:space="preserve"> 1x Signature Plate 4 </t>
  </si>
  <si>
    <t xml:space="preserve"> Order #s9vx-2520-9bpo </t>
  </si>
  <si>
    <t xml:space="preserve"> 1x Garlic Gyro Chicken Wrap, </t>
  </si>
  <si>
    <t xml:space="preserve"> 1x Velvet Mushroom Wrap, </t>
  </si>
  <si>
    <t xml:space="preserve"> 1x Salt &amp; Pepper Fries </t>
  </si>
  <si>
    <t xml:space="preserve"> Order #s8sf-2520-iku5 </t>
  </si>
  <si>
    <t xml:space="preserve"> 1x BBQ Chicken Nachos, </t>
  </si>
  <si>
    <t xml:space="preserve"> 1x Chicken Nachos </t>
  </si>
  <si>
    <t xml:space="preserve"> Order #u4fr-2520-9vy0 </t>
  </si>
  <si>
    <t xml:space="preserve"> 1x Smoked Chicken sandwich, </t>
  </si>
  <si>
    <t xml:space="preserve"> 1x Hunter Beef Sandwich </t>
  </si>
  <si>
    <t xml:space="preserve"> Order #pukl-2520-8r8e </t>
  </si>
  <si>
    <t xml:space="preserve"> 1x Crazy Saus-Age </t>
  </si>
  <si>
    <t xml:space="preserve"> Order #q6zd-2519-tft4 </t>
  </si>
  <si>
    <t xml:space="preserve"> 1x OG Pop Rice meal Box, </t>
  </si>
  <si>
    <t xml:space="preserve"> Order #s9ek-2519-3i56 </t>
  </si>
  <si>
    <t xml:space="preserve"> 1x Chicken Butter Masala, </t>
  </si>
  <si>
    <t xml:space="preserve"> Order #udv6-2518-fkui </t>
  </si>
  <si>
    <t xml:space="preserve"> 1x Hot &amp; Lemon Chicken Rice Bowl, </t>
  </si>
  <si>
    <t xml:space="preserve"> 1x Crispy Chicken Rice Bowl </t>
  </si>
  <si>
    <t xml:space="preserve"> Order #mv3u-2517-7msj </t>
  </si>
  <si>
    <t xml:space="preserve"> 1x ASSORTED MAKI PLATTER </t>
  </si>
  <si>
    <t xml:space="preserve"> Order #uphj-2517-mmng </t>
  </si>
  <si>
    <t xml:space="preserve"> 1x Crispy Chicken Burger - Large, </t>
  </si>
  <si>
    <t xml:space="preserve"> 1x Regular Crispy Chicken Burger </t>
  </si>
  <si>
    <t xml:space="preserve"> Order #n7ph-2515-6mne </t>
  </si>
  <si>
    <t xml:space="preserve"> 1x Pran Hot Tomato Sauce Plastic Jar 1Kg </t>
  </si>
  <si>
    <t xml:space="preserve"> Order #t6qy-2515-rwf0 </t>
  </si>
  <si>
    <t xml:space="preserve"> 1x BBQ Chicken Burger </t>
  </si>
  <si>
    <t xml:space="preserve"> Order #pta7-2513-0yb0 </t>
  </si>
  <si>
    <t xml:space="preserve"> 2x Garlic Chick Bites </t>
  </si>
  <si>
    <t xml:space="preserve"> Order #uphj-2511-jej1 </t>
  </si>
  <si>
    <t xml:space="preserve"> 1x Crispy Chicken Pops, </t>
  </si>
  <si>
    <t xml:space="preserve"> 1x Regular Chicken Cheese Burger </t>
  </si>
  <si>
    <t xml:space="preserve"> Order #ffeq-2509-grts </t>
  </si>
  <si>
    <t xml:space="preserve"> 1x Chicken Tikka Butter Masala with Dal Makhani </t>
  </si>
  <si>
    <t xml:space="preserve"> Order #pta7-2509-oc7a </t>
  </si>
  <si>
    <t xml:space="preserve"> 2x Garlic Chick Bites, </t>
  </si>
  <si>
    <t xml:space="preserve"> Order #pta7-2504-9jmr </t>
  </si>
  <si>
    <t xml:space="preserve"> 1x Spicy Chicken Pizza, </t>
  </si>
  <si>
    <t xml:space="preserve"> 1x Garlic Chick Bites </t>
  </si>
  <si>
    <t xml:space="preserve"> Order #u0ay-2504-ut0g </t>
  </si>
  <si>
    <t xml:space="preserve"> 1x Chicken Mini Strips - 20 pcs, </t>
  </si>
  <si>
    <t xml:space="preserve"> 1x Coleslaw - Large </t>
  </si>
  <si>
    <t xml:space="preserve"> Order #u4z7-2504-vh08 </t>
  </si>
  <si>
    <t xml:space="preserve"> 1x Chicken Tikka Box</t>
  </si>
  <si>
    <t xml:space="preserve"> Order #s3ac-2503-a9i5 </t>
  </si>
  <si>
    <t xml:space="preserve"> 1x Chicken Sausage Burger, </t>
  </si>
  <si>
    <t xml:space="preserve"> 1x Beef Burger </t>
  </si>
  <si>
    <t xml:space="preserve"> Order #mvlg-2450-edl4 </t>
  </si>
  <si>
    <t xml:space="preserve"> 1x Chocolate Ganache Mud Cake - 500 Gm </t>
  </si>
  <si>
    <t xml:space="preserve"> Order #s2we-2448-nv0r </t>
  </si>
  <si>
    <t xml:space="preserve"> 1x Dory Meal, </t>
  </si>
  <si>
    <t xml:space="preserve"> 1x Korean Meal </t>
  </si>
  <si>
    <t xml:space="preserve"> Order #it4x-2436-vhdq </t>
  </si>
  <si>
    <t xml:space="preserve"> 1x Shorisha Chicken Khichuri </t>
  </si>
  <si>
    <t xml:space="preserve"> Order #uqfx-2434-8og5 </t>
  </si>
  <si>
    <t xml:space="preserve"> 1x Pav Bhaji, </t>
  </si>
  <si>
    <t xml:space="preserve"> 1x Beef Dhala Khichuri - Full </t>
  </si>
  <si>
    <t xml:space="preserve"> Order #u0ay-2421-az4t </t>
  </si>
  <si>
    <t xml:space="preserve"> 1x Regular Crispy Fried Chicken, </t>
  </si>
  <si>
    <t xml:space="preserve"> 2x Coleslaw, </t>
  </si>
  <si>
    <t xml:space="preserve"> 1x Regular Crispy Fried Chicken </t>
  </si>
  <si>
    <t xml:space="preserve"> Order #huf9-2419-xmpx </t>
  </si>
  <si>
    <t xml:space="preserve"> 1x Chicken Sub Sandwich, </t>
  </si>
  <si>
    <t xml:space="preserve"> 1x Chicken Cheese Burger </t>
  </si>
  <si>
    <t xml:space="preserve"> Order #p9gz-lapl </t>
  </si>
  <si>
    <t xml:space="preserve"> 2x French Fries, </t>
  </si>
  <si>
    <t xml:space="preserve"> 1x Classic Beef Burger </t>
  </si>
  <si>
    <t xml:space="preserve"> Order #avq5-xcyq </t>
  </si>
  <si>
    <t xml:space="preserve"> 1x Tandoori Chicken Burger, </t>
  </si>
  <si>
    <t xml:space="preserve"> 1x Crispy Chicken Cheese Sub Sandwich </t>
  </si>
  <si>
    <t xml:space="preserve"> Order #huf9-mgyq </t>
  </si>
  <si>
    <t xml:space="preserve"> 1x Tandoori Wrap, </t>
  </si>
  <si>
    <t xml:space="preserve"> 1x Pizza Wrap </t>
  </si>
  <si>
    <t xml:space="preserve"> Order #avq5-8fbn </t>
  </si>
  <si>
    <t xml:space="preserve"> 1x Super Cheesy Classic Sub Sandwich, </t>
  </si>
  <si>
    <t xml:space="preserve"> 1x Smokey BBQ Chicken Burger </t>
  </si>
  <si>
    <t xml:space="preserve"> Order #xxas-45cs </t>
  </si>
  <si>
    <t xml:space="preserve"> 1x Spicy French Fries, </t>
  </si>
  <si>
    <t xml:space="preserve"> 1x Spice &amp; Honey Mustard, </t>
  </si>
  <si>
    <t xml:space="preserve"> 1x Mushroom Rush Burger - Chicken </t>
  </si>
  <si>
    <t xml:space="preserve"> Order #kfxv-d2y1 </t>
  </si>
  <si>
    <t xml:space="preserve"> 1x Nashville Spicy Chicken Burger</t>
  </si>
  <si>
    <t xml:space="preserve"> Order #z6hz-p8p9 </t>
  </si>
  <si>
    <t xml:space="preserve"> 1x Shahi Paratha, </t>
  </si>
  <si>
    <t xml:space="preserve"> 1x Special Butter Naan </t>
  </si>
  <si>
    <t xml:space="preserve"> Order #z0se-zqt5 </t>
  </si>
  <si>
    <t xml:space="preserve"> 2x Chicken Sub Sandwich </t>
  </si>
  <si>
    <t xml:space="preserve"> Order #i9fp-mc76 </t>
  </si>
  <si>
    <t xml:space="preserve"> 1x American Spicy Pizza </t>
  </si>
  <si>
    <t xml:space="preserve"> Order #vyi8-dgd0 </t>
  </si>
  <si>
    <t xml:space="preserve"> 1x Smokey BBQ Sub Sandwich, </t>
  </si>
  <si>
    <t xml:space="preserve"> 1x Smokey BBQ Chicken Burger, </t>
  </si>
  <si>
    <t xml:space="preserve"> 1x Buffalo Wings </t>
  </si>
  <si>
    <t xml:space="preserve"> Order #huf9-3g38 </t>
  </si>
  <si>
    <t xml:space="preserve"> Order #s8sf-7yp9 </t>
  </si>
  <si>
    <t xml:space="preserve"> Order #u0ay-8o5e </t>
  </si>
  <si>
    <t xml:space="preserve"> 1x Grilled Chicken Wrap </t>
  </si>
  <si>
    <t xml:space="preserve"> Order #s1ol-pnv0 </t>
  </si>
  <si>
    <t xml:space="preserve"> 1x Crispy Chicken Sub </t>
  </si>
  <si>
    <t xml:space="preserve"> Order #p9gz-tag1 </t>
  </si>
  <si>
    <t xml:space="preserve"> 1x TDC Special Meat Box </t>
  </si>
  <si>
    <t xml:space="preserve"> Order #z6hz-updb </t>
  </si>
  <si>
    <t xml:space="preserve"> 1x Chicken Drumstick, </t>
  </si>
  <si>
    <t xml:space="preserve"> 5x Butter Naan, </t>
  </si>
  <si>
    <t xml:space="preserve"> 3x Spring Roll </t>
  </si>
  <si>
    <t xml:space="preserve"> Order #u6ys-qhhx </t>
  </si>
  <si>
    <t xml:space="preserve"> 1x Spicy Wrap </t>
  </si>
  <si>
    <t xml:space="preserve"> Order #u6ys-dc6u </t>
  </si>
  <si>
    <t xml:space="preserve"> 1x Spicy Crispy Fried Chicken </t>
  </si>
  <si>
    <t xml:space="preserve"> Order #q6zd-4hoy </t>
  </si>
  <si>
    <t xml:space="preserve"> 1x Slaw Burger Meal </t>
  </si>
  <si>
    <t xml:space="preserve"> Order #gmfl-x43b </t>
  </si>
  <si>
    <t xml:space="preserve"> 1x KK Supreme Pizza </t>
  </si>
  <si>
    <t xml:space="preserve"> Order #qmik-xh4j </t>
  </si>
  <si>
    <t xml:space="preserve"> Order #s6ko-5jy4 </t>
  </si>
  <si>
    <t xml:space="preserve"> 1x Cheese Fountain Pizza, </t>
  </si>
  <si>
    <t xml:space="preserve"> 1x Meat Masala Pizza </t>
  </si>
  <si>
    <t xml:space="preserve"> Order #x8zu-t29z </t>
  </si>
  <si>
    <t xml:space="preserve"> 2x Special Beef Kala Bhuna </t>
  </si>
  <si>
    <t xml:space="preserve"> Order #j95d-t0nz </t>
  </si>
  <si>
    <t xml:space="preserve"> 1x Beef Sheek, </t>
  </si>
  <si>
    <t xml:space="preserve"> 1x Chicken Reshmi Kebab </t>
  </si>
  <si>
    <t xml:space="preserve"> Order #c6a3-p93d </t>
  </si>
  <si>
    <t xml:space="preserve"> 1x Mutton Chui Gosht, </t>
  </si>
  <si>
    <t xml:space="preserve"> 1x Plain Rice, </t>
  </si>
  <si>
    <t xml:space="preserve"> 1x Chutney </t>
  </si>
  <si>
    <t xml:space="preserve"> Order #z4qs-ze7f </t>
  </si>
  <si>
    <t xml:space="preserve"> 3x Chicken Bhuna Khichuri </t>
  </si>
  <si>
    <t xml:space="preserve"> Order #s2we-7ecc </t>
  </si>
  <si>
    <t xml:space="preserve"> 1x Pasta BBQ </t>
  </si>
  <si>
    <t xml:space="preserve"> Order #nkd6-71ru </t>
  </si>
  <si>
    <t xml:space="preserve"> 1x Basmati Kacchi - 1:1, </t>
  </si>
  <si>
    <t xml:space="preserve"> Order #i9fp-xmvh </t>
  </si>
  <si>
    <t xml:space="preserve"> 1x Margherita Pizza </t>
  </si>
  <si>
    <t xml:space="preserve"> Order #w4x9-3emt </t>
  </si>
  <si>
    <t xml:space="preserve"> 1x Pringles Pizza Flavour 158g </t>
  </si>
  <si>
    <t xml:space="preserve"> Order #vbhf-x1pn </t>
  </si>
  <si>
    <t xml:space="preserve"> 1x Pringles Pizza </t>
  </si>
  <si>
    <t xml:space="preserve"> Order #z4qs-0pmy </t>
  </si>
  <si>
    <t xml:space="preserve"> 2x Chicken Bhuna Khichuri </t>
  </si>
  <si>
    <t xml:space="preserve"> Order #t6qg-2pau </t>
  </si>
  <si>
    <t xml:space="preserve"> 2x Chicken Jhal Fry </t>
  </si>
  <si>
    <t xml:space="preserve"> Order #n7ph-vlcr </t>
  </si>
  <si>
    <t xml:space="preserve"> 1x Golden Harvest Chicken Meatball - 35pcs 400g, </t>
  </si>
  <si>
    <t xml:space="preserve"> 1x Roja Calamari Bites 200g, </t>
  </si>
  <si>
    <t xml:space="preserve"> 2x Kazi Farms Original Chicken Nuggets 250 g </t>
  </si>
  <si>
    <t xml:space="preserve"> Order #nkd6-ki0k </t>
  </si>
  <si>
    <t xml:space="preserve"> 1x Basmati Kacchi - 1:2 </t>
  </si>
  <si>
    <t xml:space="preserve"> Order #p9gz-5o52 </t>
  </si>
  <si>
    <t xml:space="preserve"> 1x Mushroom Chicken Burger, </t>
  </si>
  <si>
    <t xml:space="preserve"> 1x BBQ Meat Box </t>
  </si>
  <si>
    <t xml:space="preserve"> Order #n8hr-hxcm </t>
  </si>
  <si>
    <t xml:space="preserve"> 1x Chicken Noodles </t>
  </si>
  <si>
    <t xml:space="preserve"> Order #vyi8-n0ja </t>
  </si>
  <si>
    <t xml:space="preserve"> 1x Chicken Chowmein, </t>
  </si>
  <si>
    <t xml:space="preserve"> Order #d52y-vh0d </t>
  </si>
  <si>
    <t xml:space="preserve"> 1x Smoky Chicken Pizza, </t>
  </si>
  <si>
    <t xml:space="preserve"> 1x Crispy Chicken Wrap, </t>
  </si>
  <si>
    <t xml:space="preserve"> 1x Arabian Bun Shawarma </t>
  </si>
  <si>
    <t xml:space="preserve"> Order #u7rr-92k1 </t>
  </si>
  <si>
    <t xml:space="preserve"> 1x Kung Pao Chicken </t>
  </si>
  <si>
    <t xml:space="preserve"> Order #i9fp-iqxn </t>
  </si>
  <si>
    <t xml:space="preserve"> 1x Margherita Pizza, </t>
  </si>
  <si>
    <t xml:space="preserve"> 1x Salami Pizza </t>
  </si>
  <si>
    <t xml:space="preserve"> Order #b335-7l0i </t>
  </si>
  <si>
    <t xml:space="preserve"> 1x Cheese Shower Pizza, </t>
  </si>
  <si>
    <t xml:space="preserve"> 1x Heavy Meat Pizza </t>
  </si>
  <si>
    <t xml:space="preserve"> Order #s8sf-w3mn </t>
  </si>
  <si>
    <t xml:space="preserve"> 1x BBQ Chicken Cheese Burger </t>
  </si>
  <si>
    <t xml:space="preserve"> Order #t3da-18zf </t>
  </si>
  <si>
    <t xml:space="preserve"> 1x Supreme Pizza, </t>
  </si>
  <si>
    <t xml:space="preserve"> 1x Cheese Pizza </t>
  </si>
  <si>
    <t xml:space="preserve"> Order #z4qs-ofro </t>
  </si>
  <si>
    <t xml:space="preserve"> 2x Special Chicken Bhuna Khichuri </t>
  </si>
  <si>
    <t xml:space="preserve"> Order #i9fp-5pjg </t>
  </si>
  <si>
    <t xml:space="preserve"> 1x Tender Beef Pizza, </t>
  </si>
  <si>
    <t xml:space="preserve"> Order #p9gz-2b91 </t>
  </si>
  <si>
    <t xml:space="preserve"> 1x BBQ Meat Box, </t>
  </si>
  <si>
    <t xml:space="preserve"> 1x Naga Meat Box </t>
  </si>
  <si>
    <t xml:space="preserve"> Order #z4qs-5j15 </t>
  </si>
  <si>
    <t xml:space="preserve"> 2x Special Beef Bhuna Khichuri </t>
  </si>
  <si>
    <t xml:space="preserve"> Order #haz7-54zh </t>
  </si>
  <si>
    <t xml:space="preserve"> 1x Spaghetti &amp; Meatballs, </t>
  </si>
  <si>
    <t xml:space="preserve"> 1x Chicken Manchurian with Fried Rice </t>
  </si>
  <si>
    <t xml:space="preserve"> Order #t6wt-87kt </t>
  </si>
  <si>
    <t xml:space="preserve"> 1x Beef Pepperoni Pizza, </t>
  </si>
  <si>
    <t xml:space="preserve"> 1x Spicy Chicken Pizza </t>
  </si>
  <si>
    <t xml:space="preserve"> Order #i9fp-q29c </t>
  </si>
  <si>
    <t xml:space="preserve"> 1x Uttara Lover's Pizza </t>
  </si>
  <si>
    <t xml:space="preserve"> Order #i9fp-ebek </t>
  </si>
  <si>
    <t xml:space="preserve"> 1x Naga Pizza </t>
  </si>
  <si>
    <t xml:space="preserve"> Order #i9fp-2v0n </t>
  </si>
  <si>
    <t xml:space="preserve"> Order #n7ph-3gs4 </t>
  </si>
  <si>
    <t xml:space="preserve"> 2x Pringles Galaxy Cheesy Cheese Potato Chips 147g </t>
  </si>
  <si>
    <t xml:space="preserve"> Order #p9gz-yedz </t>
  </si>
  <si>
    <t xml:space="preserve"> 1x Naga Meat Box, </t>
  </si>
  <si>
    <t xml:space="preserve"> 1x Double Beef Delight Burger </t>
  </si>
  <si>
    <t xml:space="preserve"> Order #d8om-l8b6 </t>
  </si>
  <si>
    <t xml:space="preserve"> 1x Buy 2 Jumbo Grilled Steak Burger, </t>
  </si>
  <si>
    <t xml:space="preserve"> 1x Naga Spicy Wings </t>
  </si>
  <si>
    <t xml:space="preserve"> Order #t7ug-54fs </t>
  </si>
  <si>
    <t xml:space="preserve"> 1x BBQ Chicken Shawarma, </t>
  </si>
  <si>
    <t xml:space="preserve"> 1x Naga Chicken Shawarma, </t>
  </si>
  <si>
    <t xml:space="preserve"> 1x Cheesy Chicken Shawarma </t>
  </si>
  <si>
    <t xml:space="preserve"> Order #uopq-qgpt </t>
  </si>
  <si>
    <t xml:space="preserve"> 1x Hot Fresh Special Pizza, </t>
  </si>
  <si>
    <t xml:space="preserve"> 1x BBQ Chicken Pizza </t>
  </si>
  <si>
    <t xml:space="preserve"> Order #t3da-w6v4 </t>
  </si>
  <si>
    <t xml:space="preserve"> 1x BBQ Pizza </t>
  </si>
  <si>
    <t xml:space="preserve"> Order #i9fp-6tjh </t>
  </si>
  <si>
    <t xml:space="preserve"> 1x Mexican Hot &amp; Spicy Pizza </t>
  </si>
  <si>
    <t xml:space="preserve"> Order #i9fp-v7ni </t>
  </si>
  <si>
    <t xml:space="preserve"> 1x Tandoori Pizza </t>
  </si>
  <si>
    <t xml:space="preserve"> Order #n7ph-ra33 </t>
  </si>
  <si>
    <t xml:space="preserve"> Order #u0ay-ug6g </t>
  </si>
  <si>
    <t xml:space="preserve"> 1x Crispy Chicken Strips, </t>
  </si>
  <si>
    <t xml:space="preserve"> 1x Super Cheese Burger </t>
  </si>
  <si>
    <t xml:space="preserve"> Order #t6qy-2vii </t>
  </si>
  <si>
    <t xml:space="preserve"> 1x Four Season Pizza </t>
  </si>
  <si>
    <t xml:space="preserve"> Order #xw0n-b52p </t>
  </si>
  <si>
    <t xml:space="preserve"> 1x Fiery Chicken </t>
  </si>
  <si>
    <t xml:space="preserve"> Order #s6iv-k728 </t>
  </si>
  <si>
    <t xml:space="preserve"> 2x Panda Katsu Burger </t>
  </si>
  <si>
    <t xml:space="preserve"> Order #f47i-k121 </t>
  </si>
  <si>
    <t xml:space="preserve"> 1x Coke - 250 ml, </t>
  </si>
  <si>
    <t xml:space="preserve"> 1x Naga Jacks Chicken Burger </t>
  </si>
  <si>
    <t xml:space="preserve"> Order #s0st-1rw8 </t>
  </si>
  <si>
    <t xml:space="preserve"> 1x Mumin Special BBQ Nachos, </t>
  </si>
  <si>
    <t xml:space="preserve"> 1x BBQ Chicken Sub Sandwich, </t>
  </si>
  <si>
    <t xml:space="preserve"> 1x Chicken Fry </t>
  </si>
  <si>
    <t xml:space="preserve"> Order #hz1e-u9jn </t>
  </si>
  <si>
    <t xml:space="preserve"> 1x Tandoori Chicken, </t>
  </si>
  <si>
    <t xml:space="preserve"> 1x Mushroom Mania </t>
  </si>
  <si>
    <t xml:space="preserve"> Order #s0st-83go </t>
  </si>
  <si>
    <t xml:space="preserve"> 1x Nachos, </t>
  </si>
  <si>
    <t xml:space="preserve"> 1x Sub Sandwich </t>
  </si>
  <si>
    <t xml:space="preserve"> Order #p5jl-jl0p </t>
  </si>
  <si>
    <t xml:space="preserve"> 1x Mushroom Chicken Pizza </t>
  </si>
  <si>
    <t xml:space="preserve"> Order #s6iv-2djl </t>
  </si>
  <si>
    <t xml:space="preserve"> 1x Beef Cheese Delight </t>
  </si>
  <si>
    <t xml:space="preserve"> Order #u7dm-4acd </t>
  </si>
  <si>
    <t xml:space="preserve"> 1x Shorisha Beef Tehari, </t>
  </si>
  <si>
    <t xml:space="preserve"> 1x Achari Beef Khichuri </t>
  </si>
  <si>
    <t xml:space="preserve"> Order #s3ac-7n6g </t>
  </si>
  <si>
    <t xml:space="preserve"> Order #p9gz-tffi </t>
  </si>
  <si>
    <t xml:space="preserve"> 1x TDC Special Meat Box, </t>
  </si>
  <si>
    <t xml:space="preserve"> Order #ndq4-yjh4 </t>
  </si>
  <si>
    <t xml:space="preserve"> 1x S.T.A.P - Solution to All Problems </t>
  </si>
  <si>
    <t xml:space="preserve"> Order #p5jl-09ni </t>
  </si>
  <si>
    <t xml:space="preserve"> 1x BBQ Chicken Pizza, </t>
  </si>
  <si>
    <t xml:space="preserve"> Order #p5jl-x93w </t>
  </si>
  <si>
    <t xml:space="preserve"> 1x Mushroom Chicken Pizza, </t>
  </si>
  <si>
    <t xml:space="preserve"> 1x Nachos </t>
  </si>
  <si>
    <t>Year</t>
  </si>
  <si>
    <t>Month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</si>
  <si>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</si>
  <si>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</si>
  <si>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</si>
  <si>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</si>
  <si>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</si>
  <si>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</si>
  <si>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</si>
  <si>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</si>
  <si>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</si>
  <si>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</si>
  <si>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</si>
  <si>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June</t>
  </si>
  <si>
    <t>Item Count</t>
  </si>
  <si>
    <t>Primary Item</t>
  </si>
  <si>
    <t>Grilled Chicken</t>
  </si>
  <si>
    <t>Ekushe Platter</t>
  </si>
  <si>
    <t>Chicken Cheese Burger</t>
  </si>
  <si>
    <t>Twelve 30 Special Burger</t>
  </si>
  <si>
    <t>Chicken &amp; Bacon House Burger</t>
  </si>
  <si>
    <t>Beef Tehari</t>
  </si>
  <si>
    <t>Hot and Lemony Chicken Rice Bowl</t>
  </si>
  <si>
    <t>Chicken Pops</t>
  </si>
  <si>
    <t>Beef Caramel Mushroom Thrill Burger</t>
  </si>
  <si>
    <t>Beef &amp; Bacon House Burger</t>
  </si>
  <si>
    <t>Polao with Chicken Angara</t>
  </si>
  <si>
    <t>Beef Butter Masala</t>
  </si>
  <si>
    <t>Signature Beef</t>
  </si>
  <si>
    <t>Parmilcious Fried Chicken</t>
  </si>
  <si>
    <t>Nashville Hot Dirty Fries</t>
  </si>
  <si>
    <t>Crispy Chicken Burger</t>
  </si>
  <si>
    <t>XXL Fried Chicken - Smokey Lime</t>
  </si>
  <si>
    <t>Signature Chicken</t>
  </si>
  <si>
    <t>Bestseller Combo</t>
  </si>
  <si>
    <t>Classic Crispy Chicken Burger</t>
  </si>
  <si>
    <t>Honeyfire Chicken</t>
  </si>
  <si>
    <t>Bomb Fries</t>
  </si>
  <si>
    <t>Chicken Cashewnut Salad</t>
  </si>
  <si>
    <t>Meaty Mighty Box - 1</t>
  </si>
  <si>
    <t>Shahi Morog Polao</t>
  </si>
  <si>
    <t>Peri Peri French Fries</t>
  </si>
  <si>
    <t>Cashewnut Salad</t>
  </si>
  <si>
    <t>Cheezy Garlic Bread</t>
  </si>
  <si>
    <t>Biye Bari Khana</t>
  </si>
  <si>
    <t>Morog Polao</t>
  </si>
  <si>
    <t>Classic Chicken Biryani</t>
  </si>
  <si>
    <t>Mad Kacchi</t>
  </si>
  <si>
    <t>Double Decker Chicken Burger</t>
  </si>
  <si>
    <t>All American BBQ Bacon Beef Burger</t>
  </si>
  <si>
    <t>Mustard Drizzled Beef Burger</t>
  </si>
  <si>
    <t>Beef Lal Bhuna</t>
  </si>
  <si>
    <t>Shorisha Beef Khichuri</t>
  </si>
  <si>
    <t>Honey Garlic Chicken Rice Bowl</t>
  </si>
  <si>
    <t>Chicken Nachos</t>
  </si>
  <si>
    <t>German Butcher Beef Italian Meatball 22-25 Pieces 250g</t>
  </si>
  <si>
    <t>Lahori Beef Karahi</t>
  </si>
  <si>
    <t>Crab And Cream Cheese Rangoon</t>
  </si>
  <si>
    <t>Chicken Fried Rice</t>
  </si>
  <si>
    <t>Chicken Cheesy Sub</t>
  </si>
  <si>
    <t>Chicken Delight Burger</t>
  </si>
  <si>
    <t>Margherita</t>
  </si>
  <si>
    <t>Coca Cola Zero Can 250ml</t>
  </si>
  <si>
    <t>Crispy Fries Big Bucket Fun 2</t>
  </si>
  <si>
    <t>Chicken Doner</t>
  </si>
  <si>
    <t>Double Chicken Burger</t>
  </si>
  <si>
    <t>Beef Burger</t>
  </si>
  <si>
    <t>Chocolate Indulgence (Mega) - Slice</t>
  </si>
  <si>
    <t>Chopstick Ramen Hot Cheese 8 Pieces Pack 640g</t>
  </si>
  <si>
    <t>Chick Room Burger</t>
  </si>
  <si>
    <t>Beef Sheek Kebab</t>
  </si>
  <si>
    <t>Chicken Shawarma</t>
  </si>
  <si>
    <t>BBQ Chicken Rice Platter</t>
  </si>
  <si>
    <t>Double Beef Burger</t>
  </si>
  <si>
    <t>Morog Polao with Egg</t>
  </si>
  <si>
    <t>BBQ Smokey Pizza</t>
  </si>
  <si>
    <t>Four Seasons Pizza</t>
  </si>
  <si>
    <t>Nissin Gekikara Ramen Pass Hot Carbo - 81 gm</t>
  </si>
  <si>
    <t>Fried Prawn</t>
  </si>
  <si>
    <t>Plain Polao with Chicken Roast &amp; Borhani - 1:1</t>
  </si>
  <si>
    <t>Lays American Style Cream &amp; Onion 12g</t>
  </si>
  <si>
    <t>Quick Meal Alu Paratha Box</t>
  </si>
  <si>
    <t>Spicy Crispy Fried Chicken</t>
  </si>
  <si>
    <t>Mutton Tehari</t>
  </si>
  <si>
    <t>Mehran Haleem Masala 50g</t>
  </si>
  <si>
    <t>German Butcher Chicken Sausage Cooked 10 Pieces 300g</t>
  </si>
  <si>
    <t>Chicken Cheese Blast</t>
  </si>
  <si>
    <t>Coleslaw - Large</t>
  </si>
  <si>
    <t>Double Decker Beef Burger</t>
  </si>
  <si>
    <t>Chicken Boti Kebab</t>
  </si>
  <si>
    <t>Fried Squid</t>
  </si>
  <si>
    <t>BBQ Chicken Cheese Burger</t>
  </si>
  <si>
    <t>Butter Naan</t>
  </si>
  <si>
    <t>Chicken Chedarolla</t>
  </si>
  <si>
    <t>Spice &amp; Honey Mustard</t>
  </si>
  <si>
    <t>Signature Plate 4</t>
  </si>
  <si>
    <t>Garlic Gyro Chicken Wrap</t>
  </si>
  <si>
    <t>BBQ Chicken Nachos</t>
  </si>
  <si>
    <t>Smoked Chicken sandwich</t>
  </si>
  <si>
    <t>OG Pop Rice meal Box</t>
  </si>
  <si>
    <t>Chicken Butter Masala</t>
  </si>
  <si>
    <t>Hot &amp; Lemon Chicken Rice Bowl</t>
  </si>
  <si>
    <t>ASSORTED MAKI PLATTER</t>
  </si>
  <si>
    <t>Crispy Chicken Burger - Large</t>
  </si>
  <si>
    <t>Garlic Chick Bites</t>
  </si>
  <si>
    <t>Crispy Chicken Pops</t>
  </si>
  <si>
    <t>Chicken Tikka Butter Masala with Dal Makhani</t>
  </si>
  <si>
    <t>Spicy Chicken Pizza</t>
  </si>
  <si>
    <t>Chicken Mini Strips - 20 pcs</t>
  </si>
  <si>
    <t>Chicken Tikka Box</t>
  </si>
  <si>
    <t>Chicken Sausage Burger</t>
  </si>
  <si>
    <t>Chocolate Ganache Mud Cake - 500 Gm</t>
  </si>
  <si>
    <t>Dory Meal</t>
  </si>
  <si>
    <t>Shorisha Chicken Khichuri</t>
  </si>
  <si>
    <t>Pav Bhaji</t>
  </si>
  <si>
    <t>Regular Crispy Fried Chicken</t>
  </si>
  <si>
    <t>Chicken Sub Sandwich</t>
  </si>
  <si>
    <t>French Fries</t>
  </si>
  <si>
    <t>Tandoori Chicken Burger</t>
  </si>
  <si>
    <t>Tandoori Wrap</t>
  </si>
  <si>
    <t>Super Cheesy Classic Sub Sandwich</t>
  </si>
  <si>
    <t>Spicy French Fries</t>
  </si>
  <si>
    <t>Nashville Spicy Chicken Burger</t>
  </si>
  <si>
    <t>American Spicy Pizza</t>
  </si>
  <si>
    <t>Smokey BBQ Sub Sandwich</t>
  </si>
  <si>
    <t>Best Burger</t>
  </si>
  <si>
    <t>TDC Special Meat Box</t>
  </si>
  <si>
    <t>Chicken Drumstick</t>
  </si>
  <si>
    <t>Spicy Wrap</t>
  </si>
  <si>
    <t>Slaw Burger Meal</t>
  </si>
  <si>
    <t>KK Supreme Pizza</t>
  </si>
  <si>
    <t>Cheese Fountain Pizza</t>
  </si>
  <si>
    <t>Special Beef Kala Bhuna</t>
  </si>
  <si>
    <t>Beef Sheek</t>
  </si>
  <si>
    <t>Mutton Chui Gosht</t>
  </si>
  <si>
    <t>Chicken Bhuna Khichuri</t>
  </si>
  <si>
    <t>Pasta BBQ</t>
  </si>
  <si>
    <t>Basmati Kacchi - 1:1</t>
  </si>
  <si>
    <t>Margherita Pizza</t>
  </si>
  <si>
    <t>Pringles Pizza Flavour 158g</t>
  </si>
  <si>
    <t>Pringles Pizza</t>
  </si>
  <si>
    <t>Chicken Jhal Fry</t>
  </si>
  <si>
    <t>Golden Harvest Chicken Meatball - 35pcs 400g</t>
  </si>
  <si>
    <t>Basmati Kacchi - 1:2</t>
  </si>
  <si>
    <t>Mushroom Chicken Burger</t>
  </si>
  <si>
    <t>Chicken Noodles</t>
  </si>
  <si>
    <t>Chicken Chowmein</t>
  </si>
  <si>
    <t>Smoky Chicken Pizza</t>
  </si>
  <si>
    <t>Cheese Shower Pizza</t>
  </si>
  <si>
    <t>Supreme Pizza</t>
  </si>
  <si>
    <t>Special Chicken Bhuna Khichuri</t>
  </si>
  <si>
    <t>Tender Beef Pizza</t>
  </si>
  <si>
    <t>BBQ Meat Box</t>
  </si>
  <si>
    <t>Special Beef Bhuna Khichuri</t>
  </si>
  <si>
    <t>Spaghetti &amp; Meatballs</t>
  </si>
  <si>
    <t>Beef Pepperoni Pizza</t>
  </si>
  <si>
    <t>Uttara Lover's Pizza</t>
  </si>
  <si>
    <t>Naga Pizza</t>
  </si>
  <si>
    <t>Pringles Galaxy Cheesy Cheese Potato Chips 147g</t>
  </si>
  <si>
    <t>Naga Meat Box</t>
  </si>
  <si>
    <t>Buy 2 Jumbo Grilled Steak Burger</t>
  </si>
  <si>
    <t>BBQ Chicken Shawarma</t>
  </si>
  <si>
    <t>Hot Fresh Special Pizza</t>
  </si>
  <si>
    <t>BBQ Pizza</t>
  </si>
  <si>
    <t>Mexican Hot &amp; Spicy Pizza</t>
  </si>
  <si>
    <t>Tandoori Pizza</t>
  </si>
  <si>
    <t>Crispy Chicken Strips</t>
  </si>
  <si>
    <t>Four Season Pizza</t>
  </si>
  <si>
    <t>Fiery Chicken</t>
  </si>
  <si>
    <t>Panda Katsu Burger</t>
  </si>
  <si>
    <t>Coke - 250 ml</t>
  </si>
  <si>
    <t>Mumin Special BBQ Nachos</t>
  </si>
  <si>
    <t>Tandoori Chicken</t>
  </si>
  <si>
    <t>Nachos</t>
  </si>
  <si>
    <t>Mushroom Chicken Pizza</t>
  </si>
  <si>
    <t>Beef Cheese Delight</t>
  </si>
  <si>
    <t>Shorisha Beef Tehari</t>
  </si>
  <si>
    <t>BBQ Chicken Pizza</t>
  </si>
  <si>
    <t>One Nissin Gekikara Ramen Hot Carbonara 120 gm</t>
  </si>
  <si>
    <t>Keyword</t>
  </si>
  <si>
    <t>Cuisine</t>
  </si>
  <si>
    <t>khichuri</t>
  </si>
  <si>
    <t>Bengali/Desi</t>
  </si>
  <si>
    <t>kacchi</t>
  </si>
  <si>
    <t>tehari</t>
  </si>
  <si>
    <t>polao</t>
  </si>
  <si>
    <t>morog</t>
  </si>
  <si>
    <t>haleem</t>
  </si>
  <si>
    <t>jorda</t>
  </si>
  <si>
    <t>paratha</t>
  </si>
  <si>
    <t>parata</t>
  </si>
  <si>
    <t>chui gosht</t>
  </si>
  <si>
    <t>karahi</t>
  </si>
  <si>
    <t>butter masala</t>
  </si>
  <si>
    <t>biye bari</t>
  </si>
  <si>
    <t>dal</t>
  </si>
  <si>
    <t>naan</t>
  </si>
  <si>
    <t>shorisha</t>
  </si>
  <si>
    <t>bhuna</t>
  </si>
  <si>
    <t>kebab</t>
  </si>
  <si>
    <t>Kabab/Grill</t>
  </si>
  <si>
    <t>kabab</t>
  </si>
  <si>
    <t>sheek</t>
  </si>
  <si>
    <t>boti</t>
  </si>
  <si>
    <t>tandoori</t>
  </si>
  <si>
    <t>reshmi</t>
  </si>
  <si>
    <t>grilled chicken</t>
  </si>
  <si>
    <t>shawarma</t>
  </si>
  <si>
    <t>Middle Eastern</t>
  </si>
  <si>
    <t>doner</t>
  </si>
  <si>
    <t>gyro</t>
  </si>
  <si>
    <t>arabian</t>
  </si>
  <si>
    <t>pizza</t>
  </si>
  <si>
    <t>Italian/Pizza</t>
  </si>
  <si>
    <t>pasta</t>
  </si>
  <si>
    <t>spaghetti</t>
  </si>
  <si>
    <t>meatball</t>
  </si>
  <si>
    <t>margherita</t>
  </si>
  <si>
    <t>salsiccia</t>
  </si>
  <si>
    <t>ramen</t>
  </si>
  <si>
    <t>East Asian</t>
  </si>
  <si>
    <t>noodle</t>
  </si>
  <si>
    <t>chowmein</t>
  </si>
  <si>
    <t>manchurian</t>
  </si>
  <si>
    <t>katsu</t>
  </si>
  <si>
    <t>maki</t>
  </si>
  <si>
    <t>korean</t>
  </si>
  <si>
    <t>nanban</t>
  </si>
  <si>
    <t>kung pao</t>
  </si>
  <si>
    <t>sriracha</t>
  </si>
  <si>
    <t>burger</t>
  </si>
  <si>
    <t>American/Fast Food</t>
  </si>
  <si>
    <t>sandwich</t>
  </si>
  <si>
    <t>sub</t>
  </si>
  <si>
    <t>nachos</t>
  </si>
  <si>
    <t>fries</t>
  </si>
  <si>
    <t>nuggets</t>
  </si>
  <si>
    <t>wings</t>
  </si>
  <si>
    <t>chips</t>
  </si>
  <si>
    <t>hot dog</t>
  </si>
  <si>
    <t>wrap</t>
  </si>
  <si>
    <t>Wraps/Rolls</t>
  </si>
  <si>
    <t>rice bowl</t>
  </si>
  <si>
    <t>Rice Bowls</t>
  </si>
  <si>
    <t>fried rice</t>
  </si>
  <si>
    <t>meal box</t>
  </si>
  <si>
    <t>salad</t>
  </si>
  <si>
    <t>Salads/Light</t>
  </si>
  <si>
    <t>squid</t>
  </si>
  <si>
    <t>Seafood</t>
  </si>
  <si>
    <t>prawn</t>
  </si>
  <si>
    <t>calamari</t>
  </si>
  <si>
    <t>fish</t>
  </si>
  <si>
    <t>dory</t>
  </si>
  <si>
    <t>cake</t>
  </si>
  <si>
    <t>Dessert/Bakery</t>
  </si>
  <si>
    <t>sweets</t>
  </si>
  <si>
    <t>chocolate</t>
  </si>
  <si>
    <t>chanachur</t>
  </si>
  <si>
    <t>Snacks/Pantry</t>
  </si>
  <si>
    <t>sauce</t>
  </si>
  <si>
    <t>coke</t>
  </si>
  <si>
    <t>Beverages</t>
  </si>
  <si>
    <t>cola</t>
  </si>
  <si>
    <t>TEHARI GHAR +</t>
  </si>
  <si>
    <t>SMASHED BURGERS</t>
  </si>
  <si>
    <t>CITY RESTAURANT</t>
  </si>
  <si>
    <t>PANDAMART</t>
  </si>
  <si>
    <t>BURGER LAB</t>
  </si>
  <si>
    <t>MOMO HOUSE</t>
  </si>
  <si>
    <t>ZAFRAN RESTORA &amp; KABAB</t>
  </si>
  <si>
    <t>RICE AND NOODLE</t>
  </si>
  <si>
    <t>DREAM BURGER</t>
  </si>
  <si>
    <t>TWELVE30 CAFE</t>
  </si>
  <si>
    <t>BURGER XPRESS</t>
  </si>
  <si>
    <t>CRISP</t>
  </si>
  <si>
    <t>TEHARI DEWAANA</t>
  </si>
  <si>
    <t>KABAB XPRESS</t>
  </si>
  <si>
    <t>MADCHEF</t>
  </si>
  <si>
    <t>DIP FRY AND STEAK</t>
  </si>
  <si>
    <t>DIBBLES</t>
  </si>
  <si>
    <t>CHILLOX</t>
  </si>
  <si>
    <t>UNCLE BOBO'S</t>
  </si>
  <si>
    <t>CHEEZ</t>
  </si>
  <si>
    <t>CAFE CINO</t>
  </si>
  <si>
    <t>DONERCI FLAMING DONER</t>
  </si>
  <si>
    <t>DEKCHI</t>
  </si>
  <si>
    <t>PROTEIN CORNER</t>
  </si>
  <si>
    <t>HAMZA BIRIYANI</t>
  </si>
  <si>
    <t>PAGLA BABURCHI</t>
  </si>
  <si>
    <t>RICE LAB</t>
  </si>
  <si>
    <t>BIG Q</t>
  </si>
  <si>
    <t>MR.MANIK FOODS</t>
  </si>
  <si>
    <t>KEBAB &amp; CURRY</t>
  </si>
  <si>
    <t>DIM SUM TOWN</t>
  </si>
  <si>
    <t>TOKYO KITCHEN</t>
  </si>
  <si>
    <t>BURGER MANIA</t>
  </si>
  <si>
    <t>BURGEROGRAPHY</t>
  </si>
  <si>
    <t>PIZZOLO CAFFE</t>
  </si>
  <si>
    <t>AMERICAN BURGER</t>
  </si>
  <si>
    <t>SECRET RECIPE (STANDARD)</t>
  </si>
  <si>
    <t>KUDOS</t>
  </si>
  <si>
    <t>ANJUM KABAB GHOR</t>
  </si>
  <si>
    <t>RICE &amp; MORE</t>
  </si>
  <si>
    <t>O BHAI KACCHI</t>
  </si>
  <si>
    <t>GOLDEN PIZZA HOUSE</t>
  </si>
  <si>
    <t>MR. PIZZA</t>
  </si>
  <si>
    <t>NISSIN RAMEN BAR</t>
  </si>
  <si>
    <t>90'S DHAKA</t>
  </si>
  <si>
    <t>SULTAN'S DINE</t>
  </si>
  <si>
    <t>TARKA EXPRESS</t>
  </si>
  <si>
    <t>BEST FRIED CHICKEN (BFC)</t>
  </si>
  <si>
    <t>SHACK BURGER</t>
  </si>
  <si>
    <t>CHAAP GHOR</t>
  </si>
  <si>
    <t>SUFI HOUSE</t>
  </si>
  <si>
    <t>HELLO HUNGRY RESTAURANT</t>
  </si>
  <si>
    <t>ISSA WRAP</t>
  </si>
  <si>
    <t>THE PLATES</t>
  </si>
  <si>
    <t>SAUSLY'S FOODS</t>
  </si>
  <si>
    <t>JACKSON'S FRIED CHICKEN</t>
  </si>
  <si>
    <t>TBC</t>
  </si>
  <si>
    <t>CHICKEN BUZZ</t>
  </si>
  <si>
    <t>DIGGGER</t>
  </si>
  <si>
    <t>DELHI 6</t>
  </si>
  <si>
    <t>CHARLEYS</t>
  </si>
  <si>
    <t>SHUMI'S HOT CAKE</t>
  </si>
  <si>
    <t>ALFRESCO</t>
  </si>
  <si>
    <t>DHAKA METRO</t>
  </si>
  <si>
    <t>TOUR DE CYCLIST</t>
  </si>
  <si>
    <t>PRITOM BURGER</t>
  </si>
  <si>
    <t>SLAW</t>
  </si>
  <si>
    <t>MAGPIE RESTAURANT BASHUNDHARA</t>
  </si>
  <si>
    <t>PIZZA DAY</t>
  </si>
  <si>
    <t>KRISPY KRUST</t>
  </si>
  <si>
    <t>PIZZA BURG</t>
  </si>
  <si>
    <t>MIM HOTEL KALA BHUNA BIKHYATA</t>
  </si>
  <si>
    <t>RED KITCHEN RESTAURANT</t>
  </si>
  <si>
    <t>SHIRAJ CHUI GOSTO</t>
  </si>
  <si>
    <t>GOLDEN RICE</t>
  </si>
  <si>
    <t>MR.STORE</t>
  </si>
  <si>
    <t>FRESH HARVEST BANGLADESH</t>
  </si>
  <si>
    <t>SAHEEN'S KITCHEN</t>
  </si>
  <si>
    <t>REDRES</t>
  </si>
  <si>
    <t>URBAN SLICES</t>
  </si>
  <si>
    <t>PIZZAROLLA &amp; 50 AVE</t>
  </si>
  <si>
    <t>WHATTA BOWL</t>
  </si>
  <si>
    <t>PIZZA GURU</t>
  </si>
  <si>
    <t>BURGRILLX ULTIMATE</t>
  </si>
  <si>
    <t>SHAWARMA DAMASCO</t>
  </si>
  <si>
    <t>HOT FRESH PIZZA</t>
  </si>
  <si>
    <t>FRIES &amp; MORE</t>
  </si>
  <si>
    <t>TAKEOUT</t>
  </si>
  <si>
    <t>MUMIN FOODS</t>
  </si>
  <si>
    <t>TITBIT</t>
  </si>
  <si>
    <t>STREET OVEN</t>
  </si>
  <si>
    <t>TEHARI ON FIRE</t>
  </si>
  <si>
    <t>BLACK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</si>
</sst>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64" fontId="2" fillId="0" borderId="0" xfId="0" applyNumberFormat="1" applyFont="1"/>
    <xf numFmtId="18" fontId="2" fillId="0" borderId="0" xfId="0" applyNumberFormat="1" applyFont="1"/>
    <xf numFmtId="3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9"/>
  <sheetViews>
    <sheetView tabSelected="1" workbookViewId="0">
      <selection activeCell="I17" sqref="I17"/>
    </sheetView>
  </sheetViews>
  <sheetFormatPr defaultRowHeight="14.4" x14ac:dyDescent="0.3"/>
  <cols>
    <col min="2" max="2" width="29.5546875" customWidth="1"/>
    <col min="3" max="3" width="14" customWidth="1"/>
    <col min="4" max="4" width="12" customWidth="1"/>
    <col min="5" max="7" width="8" customWidth="1"/>
    <col min="15" max="15" width="17.109375" customWidth="1"/>
    <col min="16" max="16" width="19.21875" customWidth="1"/>
  </cols>
  <sheetData>
    <row r="1" spans="1:17" x14ac:dyDescent="0.3">
      <c r="A1" t="s">
        <v>0</v>
      </c>
      <c r="B1" t="s">
        <v>1</v>
      </c>
      <c r="C1" s="1" t="s">
        <v>3</v>
      </c>
      <c r="D1" s="1" t="s">
        <v>4</v>
      </c>
      <c r="E1" s="1" t="s">
        <v>2</v>
      </c>
      <c r="F1" s="1" t="s">
        <v>518</v>
      </c>
      <c r="G1" s="1" t="s">
        <v>517</v>
      </c>
      <c r="H1" t="s">
        <v>5</v>
      </c>
      <c r="I1" t="s">
        <v>6</v>
      </c>
      <c r="J1" s="1" t="s">
        <v>7</v>
      </c>
      <c r="K1" t="s">
        <v>8</v>
      </c>
      <c r="L1" t="s">
        <v>9</v>
      </c>
      <c r="M1" t="s">
        <v>10</v>
      </c>
      <c r="N1" t="s">
        <v>531</v>
      </c>
      <c r="O1" t="s">
        <v>532</v>
      </c>
      <c r="P1" t="s">
        <v>697</v>
      </c>
      <c r="Q1" t="s">
        <v>11</v>
      </c>
    </row>
    <row r="2" spans="1:17" x14ac:dyDescent="0.3">
      <c r="A2">
        <v>1</v>
      </c>
      <c r="B2" t="s">
        <v>787</v>
      </c>
      <c r="C2" s="2">
        <v>46154</v>
      </c>
      <c r="D2" s="3">
        <v>0.84583333333333333</v>
      </c>
      <c r="E2" s="1" t="s">
        <v>12</v>
      </c>
      <c r="F2" s="1" t="s">
        <v>519</v>
      </c>
      <c r="G2" s="1">
        <v>2026</v>
      </c>
      <c r="H2" t="s">
        <v>13</v>
      </c>
      <c r="I2" t="s">
        <v>14</v>
      </c>
      <c r="J2">
        <v>567</v>
      </c>
      <c r="K2" t="s">
        <v>15</v>
      </c>
      <c r="L2" t="s">
        <v>16</v>
      </c>
      <c r="M2" t="s">
        <v>21</v>
      </c>
      <c r="N2" cm="1">
        <f t="array" ref="N2">SUMPRODUCT(--(TRIM(K2:M2)&lt;&gt;"-")*(TRIM(K2:M2)&lt;&gt;"")*(ISTEXT(K2:M2)))</f>
        <v>2</v>
      </c>
      <c r="O2" t="s">
        <v>533</v>
      </c>
      <c r="P2" t="str" cm="1">
        <f t="array" ref="P2">IFERROR(INDEX('Cuisine Mapping'!$B$2:$B$71, MATCH(TRUE, ISNUMBER(SEARCH('Cuisine Mapping'!$A$2:$A$71,foodpanda_orders!$O2)),0)),"Others")</f>
        <v>Kabab/Grill</v>
      </c>
      <c r="Q2">
        <v>3</v>
      </c>
    </row>
    <row r="3" spans="1:17" x14ac:dyDescent="0.3">
      <c r="A3">
        <v>2</v>
      </c>
      <c r="B3" t="s">
        <v>788</v>
      </c>
      <c r="C3" s="2">
        <v>46152</v>
      </c>
      <c r="D3" s="3">
        <v>0.94513888888888886</v>
      </c>
      <c r="E3" s="1" t="s">
        <v>17</v>
      </c>
      <c r="F3" s="1" t="s">
        <v>519</v>
      </c>
      <c r="G3" s="1">
        <v>2026</v>
      </c>
      <c r="H3" t="s">
        <v>18</v>
      </c>
      <c r="I3" t="s">
        <v>19</v>
      </c>
      <c r="J3">
        <v>834</v>
      </c>
      <c r="K3" t="s">
        <v>20</v>
      </c>
      <c r="L3" t="s">
        <v>21</v>
      </c>
      <c r="M3" t="s">
        <v>21</v>
      </c>
      <c r="N3" cm="1">
        <f t="array" ref="N3">SUMPRODUCT(--(TRIM(K3:M3)&lt;&gt;"-")*(TRIM(K3:M3)&lt;&gt;"")*(ISTEXT(K3:M3)))</f>
        <v>1</v>
      </c>
      <c r="O3" t="s">
        <v>534</v>
      </c>
      <c r="P3" t="str" cm="1">
        <f t="array" ref="P3">IFERROR(INDEX('Cuisine Mapping'!$B$2:$B$71, MATCH(TRUE, ISNUMBER(SEARCH('Cuisine Mapping'!$A$2:$A$71,foodpanda_orders!$O3)),0)),"Others")</f>
        <v>Others</v>
      </c>
      <c r="Q3">
        <v>0</v>
      </c>
    </row>
    <row r="4" spans="1:17" x14ac:dyDescent="0.3">
      <c r="A4">
        <v>3</v>
      </c>
      <c r="B4" t="s">
        <v>787</v>
      </c>
      <c r="C4" s="2">
        <v>46148</v>
      </c>
      <c r="D4" s="3">
        <v>0.95625000000000004</v>
      </c>
      <c r="E4" s="1" t="s">
        <v>23</v>
      </c>
      <c r="F4" s="1" t="s">
        <v>519</v>
      </c>
      <c r="G4" s="1">
        <v>2026</v>
      </c>
      <c r="H4" t="s">
        <v>22</v>
      </c>
      <c r="I4" t="s">
        <v>24</v>
      </c>
      <c r="J4">
        <v>270</v>
      </c>
      <c r="K4" t="s">
        <v>15</v>
      </c>
      <c r="L4" t="s">
        <v>15</v>
      </c>
      <c r="M4" t="s">
        <v>25</v>
      </c>
      <c r="N4" cm="1">
        <f t="array" ref="N4">SUMPRODUCT(--(TRIM(K4:M4)&lt;&gt;"-")*(TRIM(K4:M4)&lt;&gt;"")*(ISTEXT(K4:M4)))</f>
        <v>3</v>
      </c>
      <c r="O4" t="s">
        <v>533</v>
      </c>
      <c r="P4" t="str" cm="1">
        <f t="array" ref="P4">IFERROR(INDEX('Cuisine Mapping'!$B$2:$B$71, MATCH(TRUE, ISNUMBER(SEARCH('Cuisine Mapping'!$A$2:$A$71,foodpanda_orders!$O4)),0)),"Others")</f>
        <v>Kabab/Grill</v>
      </c>
      <c r="Q4">
        <v>0</v>
      </c>
    </row>
    <row r="5" spans="1:17" x14ac:dyDescent="0.3">
      <c r="A5">
        <v>4</v>
      </c>
      <c r="B5" t="s">
        <v>789</v>
      </c>
      <c r="C5" s="2">
        <v>46148</v>
      </c>
      <c r="D5" s="3">
        <v>2.569444444444444E-2</v>
      </c>
      <c r="E5" s="1" t="s">
        <v>23</v>
      </c>
      <c r="F5" s="1" t="s">
        <v>519</v>
      </c>
      <c r="G5" s="1">
        <v>2026</v>
      </c>
      <c r="H5" t="s">
        <v>18</v>
      </c>
      <c r="I5" t="s">
        <v>26</v>
      </c>
      <c r="J5">
        <v>307</v>
      </c>
      <c r="K5" t="s">
        <v>27</v>
      </c>
      <c r="L5" t="s">
        <v>28</v>
      </c>
      <c r="M5" t="s">
        <v>21</v>
      </c>
      <c r="N5" cm="1">
        <f t="array" ref="N5">SUMPRODUCT(--(TRIM(K5:M5)&lt;&gt;"-")*(TRIM(K5:M5)&lt;&gt;"")*(ISTEXT(K5:M5)))</f>
        <v>2</v>
      </c>
      <c r="O5" t="s">
        <v>535</v>
      </c>
      <c r="P5" t="str" cm="1">
        <f t="array" ref="P5">IFERROR(INDEX('Cuisine Mapping'!$B$2:$B$71, MATCH(TRUE, ISNUMBER(SEARCH('Cuisine Mapping'!$A$2:$A$71,foodpanda_orders!$O5)),0)),"Others")</f>
        <v>American/Fast Food</v>
      </c>
      <c r="Q5">
        <v>0</v>
      </c>
    </row>
    <row r="6" spans="1:17" x14ac:dyDescent="0.3">
      <c r="A6">
        <v>5</v>
      </c>
      <c r="B6" t="s">
        <v>790</v>
      </c>
      <c r="C6" s="2">
        <v>46148</v>
      </c>
      <c r="D6" s="3">
        <v>1.805555555555555E-2</v>
      </c>
      <c r="E6" s="1" t="s">
        <v>23</v>
      </c>
      <c r="F6" s="1" t="s">
        <v>519</v>
      </c>
      <c r="G6" s="1">
        <v>2026</v>
      </c>
      <c r="H6" t="s">
        <v>22</v>
      </c>
      <c r="I6" t="s">
        <v>29</v>
      </c>
      <c r="J6">
        <v>372</v>
      </c>
      <c r="K6" t="s">
        <v>30</v>
      </c>
      <c r="L6" t="s">
        <v>30</v>
      </c>
      <c r="M6" t="s">
        <v>21</v>
      </c>
      <c r="N6" cm="1">
        <f t="array" ref="N6">SUMPRODUCT(--(TRIM(K6:M6)&lt;&gt;"-")*(TRIM(K6:M6)&lt;&gt;"")*(ISTEXT(K6:M6)))</f>
        <v>2</v>
      </c>
      <c r="O6" t="s">
        <v>536</v>
      </c>
      <c r="P6" t="str" cm="1">
        <f t="array" ref="P6">IFERROR(INDEX('Cuisine Mapping'!$B$2:$B$71, MATCH(TRUE, ISNUMBER(SEARCH('Cuisine Mapping'!$A$2:$A$71,foodpanda_orders!$O6)),0)),"Others")</f>
        <v>American/Fast Food</v>
      </c>
      <c r="Q6">
        <v>0</v>
      </c>
    </row>
    <row r="7" spans="1:17" x14ac:dyDescent="0.3">
      <c r="A7">
        <v>6</v>
      </c>
      <c r="B7" t="s">
        <v>791</v>
      </c>
      <c r="C7" s="2">
        <v>46143</v>
      </c>
      <c r="D7" s="3">
        <v>0.93125000000000002</v>
      </c>
      <c r="E7" s="1" t="s">
        <v>31</v>
      </c>
      <c r="F7" s="1" t="s">
        <v>519</v>
      </c>
      <c r="G7" s="1">
        <v>2026</v>
      </c>
      <c r="H7" t="s">
        <v>18</v>
      </c>
      <c r="I7" t="s">
        <v>32</v>
      </c>
      <c r="J7">
        <v>345</v>
      </c>
      <c r="K7" t="s">
        <v>33</v>
      </c>
      <c r="L7" t="s">
        <v>21</v>
      </c>
      <c r="M7" t="s">
        <v>21</v>
      </c>
      <c r="N7" cm="1">
        <f t="array" ref="N7">SUMPRODUCT(--(TRIM(K7:M7)&lt;&gt;"-")*(TRIM(K7:M7)&lt;&gt;"")*(ISTEXT(K7:M7)))</f>
        <v>1</v>
      </c>
      <c r="O7" t="s">
        <v>537</v>
      </c>
      <c r="P7" t="str" cm="1">
        <f t="array" ref="P7">IFERROR(INDEX('Cuisine Mapping'!$B$2:$B$71, MATCH(TRUE, ISNUMBER(SEARCH('Cuisine Mapping'!$A$2:$A$71,foodpanda_orders!$O7)),0)),"Others")</f>
        <v>American/Fast Food</v>
      </c>
      <c r="Q7">
        <v>0</v>
      </c>
    </row>
    <row r="8" spans="1:17" x14ac:dyDescent="0.3">
      <c r="A8">
        <v>7</v>
      </c>
      <c r="B8" t="s">
        <v>781</v>
      </c>
      <c r="C8" s="2">
        <v>46143</v>
      </c>
      <c r="D8" s="3">
        <v>0.8666666666666667</v>
      </c>
      <c r="E8" s="1" t="s">
        <v>31</v>
      </c>
      <c r="F8" s="1" t="s">
        <v>519</v>
      </c>
      <c r="G8" s="1">
        <v>2026</v>
      </c>
      <c r="H8" t="s">
        <v>18</v>
      </c>
      <c r="I8" t="s">
        <v>34</v>
      </c>
      <c r="J8">
        <v>303</v>
      </c>
      <c r="K8" t="s">
        <v>35</v>
      </c>
      <c r="L8" t="s">
        <v>21</v>
      </c>
      <c r="M8" t="s">
        <v>21</v>
      </c>
      <c r="N8" cm="1">
        <f t="array" ref="N8">SUMPRODUCT(--(TRIM(K8:M8)&lt;&gt;"-")*(TRIM(K8:M8)&lt;&gt;"")*(ISTEXT(K8:M8)))</f>
        <v>1</v>
      </c>
      <c r="O8" t="s">
        <v>538</v>
      </c>
      <c r="P8" t="str" cm="1">
        <f t="array" ref="P8">IFERROR(INDEX('Cuisine Mapping'!$B$2:$B$71, MATCH(TRUE, ISNUMBER(SEARCH('Cuisine Mapping'!$A$2:$A$71,foodpanda_orders!$O8)),0)),"Others")</f>
        <v>Bengali/Desi</v>
      </c>
      <c r="Q8">
        <v>0</v>
      </c>
    </row>
    <row r="9" spans="1:17" x14ac:dyDescent="0.3">
      <c r="A9">
        <v>8</v>
      </c>
      <c r="B9" t="s">
        <v>792</v>
      </c>
      <c r="C9" s="2">
        <v>46139</v>
      </c>
      <c r="D9" s="3">
        <v>0.94166666666666665</v>
      </c>
      <c r="E9" s="1" t="s">
        <v>36</v>
      </c>
      <c r="F9" s="1" t="s">
        <v>520</v>
      </c>
      <c r="G9" s="1">
        <v>2026</v>
      </c>
      <c r="H9" t="s">
        <v>18</v>
      </c>
      <c r="I9" t="s">
        <v>37</v>
      </c>
      <c r="J9">
        <v>558</v>
      </c>
      <c r="K9" t="s">
        <v>38</v>
      </c>
      <c r="L9" t="s">
        <v>21</v>
      </c>
      <c r="M9" t="s">
        <v>21</v>
      </c>
      <c r="N9" cm="1">
        <f t="array" ref="N9">SUMPRODUCT(--(TRIM(K9:M9)&lt;&gt;"-")*(TRIM(K9:M9)&lt;&gt;"")*(ISTEXT(K9:M9)))</f>
        <v>1</v>
      </c>
      <c r="O9" t="s">
        <v>539</v>
      </c>
      <c r="P9" t="str" cm="1">
        <f t="array" ref="P9">IFERROR(INDEX('Cuisine Mapping'!$B$2:$B$71, MATCH(TRUE, ISNUMBER(SEARCH('Cuisine Mapping'!$A$2:$A$71,foodpanda_orders!$O9)),0)),"Others")</f>
        <v>Rice Bowls</v>
      </c>
      <c r="Q9">
        <v>0</v>
      </c>
    </row>
    <row r="10" spans="1:17" x14ac:dyDescent="0.3">
      <c r="A10">
        <v>9</v>
      </c>
      <c r="B10" t="s">
        <v>791</v>
      </c>
      <c r="C10" s="2">
        <v>46136</v>
      </c>
      <c r="D10" s="3">
        <v>0.91319444444444442</v>
      </c>
      <c r="E10" s="1" t="s">
        <v>31</v>
      </c>
      <c r="F10" s="1" t="s">
        <v>520</v>
      </c>
      <c r="G10" s="1">
        <v>2026</v>
      </c>
      <c r="H10" t="s">
        <v>18</v>
      </c>
      <c r="I10" t="s">
        <v>39</v>
      </c>
      <c r="J10">
        <v>360</v>
      </c>
      <c r="K10" t="s">
        <v>40</v>
      </c>
      <c r="L10" t="s">
        <v>41</v>
      </c>
      <c r="M10" t="s">
        <v>21</v>
      </c>
      <c r="N10" cm="1">
        <f t="array" ref="N10">SUMPRODUCT(--(TRIM(K10:M10)&lt;&gt;"-")*(TRIM(K10:M10)&lt;&gt;"")*(ISTEXT(K10:M10)))</f>
        <v>2</v>
      </c>
      <c r="O10" t="s">
        <v>540</v>
      </c>
      <c r="P10" t="s">
        <v>748</v>
      </c>
      <c r="Q10">
        <v>0</v>
      </c>
    </row>
    <row r="11" spans="1:17" x14ac:dyDescent="0.3">
      <c r="A11">
        <v>10</v>
      </c>
      <c r="B11" t="s">
        <v>791</v>
      </c>
      <c r="C11" s="2">
        <v>46129</v>
      </c>
      <c r="D11" s="3">
        <v>0.9458333333333333</v>
      </c>
      <c r="E11" s="1" t="s">
        <v>31</v>
      </c>
      <c r="F11" s="1" t="s">
        <v>520</v>
      </c>
      <c r="G11" s="1">
        <v>2026</v>
      </c>
      <c r="H11" t="s">
        <v>18</v>
      </c>
      <c r="I11" t="s">
        <v>42</v>
      </c>
      <c r="J11">
        <v>320</v>
      </c>
      <c r="K11" t="s">
        <v>43</v>
      </c>
      <c r="L11" t="s">
        <v>21</v>
      </c>
      <c r="M11" t="s">
        <v>21</v>
      </c>
      <c r="N11" cm="1">
        <f t="array" ref="N11">SUMPRODUCT(--(TRIM(K11:M11)&lt;&gt;"-")*(TRIM(K11:M11)&lt;&gt;"")*(ISTEXT(K11:M11)))</f>
        <v>1</v>
      </c>
      <c r="O11" t="s">
        <v>541</v>
      </c>
      <c r="P11" t="str" cm="1">
        <f t="array" ref="P11">IFERROR(INDEX('Cuisine Mapping'!$B$2:$B$71, MATCH(TRUE, ISNUMBER(SEARCH('Cuisine Mapping'!$A$2:$A$71,foodpanda_orders!$O11)),0)),"Others")</f>
        <v>American/Fast Food</v>
      </c>
      <c r="Q11">
        <v>0</v>
      </c>
    </row>
    <row r="12" spans="1:17" x14ac:dyDescent="0.3">
      <c r="A12">
        <v>11</v>
      </c>
      <c r="B12" t="s">
        <v>791</v>
      </c>
      <c r="C12" s="2">
        <v>46129</v>
      </c>
      <c r="D12" s="3">
        <v>0.94305555555555554</v>
      </c>
      <c r="E12" s="1" t="s">
        <v>31</v>
      </c>
      <c r="F12" s="1" t="s">
        <v>520</v>
      </c>
      <c r="G12" s="1">
        <v>2026</v>
      </c>
      <c r="H12" t="s">
        <v>18</v>
      </c>
      <c r="I12" t="s">
        <v>44</v>
      </c>
      <c r="J12">
        <v>329</v>
      </c>
      <c r="K12" t="s">
        <v>45</v>
      </c>
      <c r="L12" t="s">
        <v>21</v>
      </c>
      <c r="M12" t="s">
        <v>21</v>
      </c>
      <c r="N12" cm="1">
        <f t="array" ref="N12">SUMPRODUCT(--(TRIM(K12:M12)&lt;&gt;"-")*(TRIM(K12:M12)&lt;&gt;"")*(ISTEXT(K12:M12)))</f>
        <v>1</v>
      </c>
      <c r="O12" t="s">
        <v>542</v>
      </c>
      <c r="P12" t="str" cm="1">
        <f t="array" ref="P12">IFERROR(INDEX('Cuisine Mapping'!$B$2:$B$71, MATCH(TRUE, ISNUMBER(SEARCH('Cuisine Mapping'!$A$2:$A$71,foodpanda_orders!$O12)),0)),"Others")</f>
        <v>American/Fast Food</v>
      </c>
      <c r="Q12">
        <v>0</v>
      </c>
    </row>
    <row r="13" spans="1:17" x14ac:dyDescent="0.3">
      <c r="A13">
        <v>12</v>
      </c>
      <c r="B13" t="s">
        <v>793</v>
      </c>
      <c r="C13" s="2">
        <v>46128</v>
      </c>
      <c r="D13" s="3">
        <v>0.68541666666666667</v>
      </c>
      <c r="E13" s="1" t="s">
        <v>46</v>
      </c>
      <c r="F13" s="1" t="s">
        <v>520</v>
      </c>
      <c r="G13" s="1">
        <v>2026</v>
      </c>
      <c r="H13" t="s">
        <v>18</v>
      </c>
      <c r="I13" t="s">
        <v>47</v>
      </c>
      <c r="J13">
        <v>255</v>
      </c>
      <c r="K13" t="s">
        <v>48</v>
      </c>
      <c r="L13" t="s">
        <v>21</v>
      </c>
      <c r="M13" t="s">
        <v>21</v>
      </c>
      <c r="N13" cm="1">
        <f t="array" ref="N13">SUMPRODUCT(--(TRIM(K13:M13)&lt;&gt;"-")*(TRIM(K13:M13)&lt;&gt;"")*(ISTEXT(K13:M13)))</f>
        <v>1</v>
      </c>
      <c r="O13" t="s">
        <v>543</v>
      </c>
      <c r="P13" t="str" cm="1">
        <f t="array" ref="P13">IFERROR(INDEX('Cuisine Mapping'!$B$2:$B$71, MATCH(TRUE, ISNUMBER(SEARCH('Cuisine Mapping'!$A$2:$A$71,foodpanda_orders!$O13)),0)),"Others")</f>
        <v>Bengali/Desi</v>
      </c>
      <c r="Q13">
        <v>0</v>
      </c>
    </row>
    <row r="14" spans="1:17" x14ac:dyDescent="0.3">
      <c r="A14">
        <v>13</v>
      </c>
      <c r="B14" t="s">
        <v>794</v>
      </c>
      <c r="C14" s="2">
        <v>46125</v>
      </c>
      <c r="D14" s="3">
        <v>0.76597222222222228</v>
      </c>
      <c r="E14" s="1" t="s">
        <v>36</v>
      </c>
      <c r="F14" s="1" t="s">
        <v>520</v>
      </c>
      <c r="G14" s="1">
        <v>2026</v>
      </c>
      <c r="H14" t="s">
        <v>18</v>
      </c>
      <c r="I14" t="s">
        <v>49</v>
      </c>
      <c r="J14">
        <v>250</v>
      </c>
      <c r="K14" t="s">
        <v>50</v>
      </c>
      <c r="L14" t="s">
        <v>21</v>
      </c>
      <c r="M14" t="s">
        <v>21</v>
      </c>
      <c r="N14" cm="1">
        <f t="array" ref="N14">SUMPRODUCT(--(TRIM(K14:M14)&lt;&gt;"-")*(TRIM(K14:M14)&lt;&gt;"")*(ISTEXT(K14:M14)))</f>
        <v>1</v>
      </c>
      <c r="O14" t="s">
        <v>544</v>
      </c>
      <c r="P14" t="str" cm="1">
        <f t="array" ref="P14">IFERROR(INDEX('Cuisine Mapping'!$B$2:$B$71, MATCH(TRUE, ISNUMBER(SEARCH('Cuisine Mapping'!$A$2:$A$71,foodpanda_orders!$O14)),0)),"Others")</f>
        <v>Bengali/Desi</v>
      </c>
      <c r="Q14">
        <v>1</v>
      </c>
    </row>
    <row r="15" spans="1:17" x14ac:dyDescent="0.3">
      <c r="A15">
        <v>14</v>
      </c>
      <c r="B15" t="s">
        <v>795</v>
      </c>
      <c r="C15" s="2">
        <v>46123</v>
      </c>
      <c r="D15" s="3">
        <v>0.81597222222222221</v>
      </c>
      <c r="E15" s="1" t="s">
        <v>51</v>
      </c>
      <c r="F15" s="1" t="s">
        <v>520</v>
      </c>
      <c r="G15" s="1">
        <v>2026</v>
      </c>
      <c r="H15" t="s">
        <v>18</v>
      </c>
      <c r="I15" t="s">
        <v>52</v>
      </c>
      <c r="J15">
        <v>850</v>
      </c>
      <c r="K15" t="s">
        <v>53</v>
      </c>
      <c r="L15" t="s">
        <v>54</v>
      </c>
      <c r="M15" t="s">
        <v>55</v>
      </c>
      <c r="N15" cm="1">
        <f t="array" ref="N15">SUMPRODUCT(--(TRIM(K15:M15)&lt;&gt;"-")*(TRIM(K15:M15)&lt;&gt;"")*(ISTEXT(K15:M15)))</f>
        <v>3</v>
      </c>
      <c r="O15" t="s">
        <v>545</v>
      </c>
      <c r="P15" t="s">
        <v>748</v>
      </c>
      <c r="Q15">
        <v>4</v>
      </c>
    </row>
    <row r="16" spans="1:17" x14ac:dyDescent="0.3">
      <c r="A16">
        <v>15</v>
      </c>
      <c r="B16" t="s">
        <v>796</v>
      </c>
      <c r="C16" s="2">
        <v>46116</v>
      </c>
      <c r="D16" s="3">
        <v>0.67361111111111116</v>
      </c>
      <c r="E16" s="1" t="s">
        <v>51</v>
      </c>
      <c r="F16" s="1" t="s">
        <v>520</v>
      </c>
      <c r="G16" s="1">
        <v>2026</v>
      </c>
      <c r="H16" t="s">
        <v>18</v>
      </c>
      <c r="I16" t="s">
        <v>56</v>
      </c>
      <c r="J16">
        <v>296</v>
      </c>
      <c r="K16" t="s">
        <v>57</v>
      </c>
      <c r="L16" t="s">
        <v>21</v>
      </c>
      <c r="M16" t="s">
        <v>21</v>
      </c>
      <c r="N16" cm="1">
        <f t="array" ref="N16">SUMPRODUCT(--(TRIM(K16:M16)&lt;&gt;"-")*(TRIM(K16:M16)&lt;&gt;"")*(ISTEXT(K16:M16)))</f>
        <v>1</v>
      </c>
      <c r="O16" t="s">
        <v>546</v>
      </c>
      <c r="P16" t="s">
        <v>748</v>
      </c>
      <c r="Q16">
        <v>3</v>
      </c>
    </row>
    <row r="17" spans="1:17" x14ac:dyDescent="0.3">
      <c r="A17">
        <v>16</v>
      </c>
      <c r="B17" t="s">
        <v>797</v>
      </c>
      <c r="C17" s="2">
        <v>46112</v>
      </c>
      <c r="D17" s="3">
        <v>0.86041666666666672</v>
      </c>
      <c r="E17" s="1" t="s">
        <v>12</v>
      </c>
      <c r="F17" s="1" t="s">
        <v>521</v>
      </c>
      <c r="G17" s="1">
        <v>2026</v>
      </c>
      <c r="H17" t="s">
        <v>18</v>
      </c>
      <c r="I17" t="s">
        <v>58</v>
      </c>
      <c r="J17">
        <v>479</v>
      </c>
      <c r="K17" t="s">
        <v>59</v>
      </c>
      <c r="L17" t="s">
        <v>60</v>
      </c>
      <c r="M17" t="s">
        <v>21</v>
      </c>
      <c r="N17" cm="1">
        <f t="array" ref="N17">SUMPRODUCT(--(TRIM(K17:M17)&lt;&gt;"-")*(TRIM(K17:M17)&lt;&gt;"")*(ISTEXT(K17:M17)))</f>
        <v>2</v>
      </c>
      <c r="O17" t="s">
        <v>547</v>
      </c>
      <c r="P17" t="str" cm="1">
        <f t="array" ref="P17">IFERROR(INDEX('Cuisine Mapping'!$B$2:$B$71, MATCH(TRUE, ISNUMBER(SEARCH('Cuisine Mapping'!$A$2:$A$71,foodpanda_orders!$O17)),0)),"Others")</f>
        <v>American/Fast Food</v>
      </c>
      <c r="Q17">
        <v>0</v>
      </c>
    </row>
    <row r="18" spans="1:17" x14ac:dyDescent="0.3">
      <c r="A18">
        <v>17</v>
      </c>
      <c r="B18" t="s">
        <v>787</v>
      </c>
      <c r="C18" s="2">
        <v>46110</v>
      </c>
      <c r="D18" s="3">
        <v>0.75138888888888888</v>
      </c>
      <c r="E18" s="1" t="s">
        <v>17</v>
      </c>
      <c r="F18" s="1" t="s">
        <v>521</v>
      </c>
      <c r="G18" s="1">
        <v>2026</v>
      </c>
      <c r="H18" t="s">
        <v>18</v>
      </c>
      <c r="I18" t="s">
        <v>61</v>
      </c>
      <c r="J18">
        <v>174</v>
      </c>
      <c r="K18" t="s">
        <v>15</v>
      </c>
      <c r="L18" t="s">
        <v>62</v>
      </c>
      <c r="M18" t="s">
        <v>21</v>
      </c>
      <c r="N18" cm="1">
        <f t="array" ref="N18">SUMPRODUCT(--(TRIM(K18:M18)&lt;&gt;"-")*(TRIM(K18:M18)&lt;&gt;"")*(ISTEXT(K18:M18)))</f>
        <v>2</v>
      </c>
      <c r="O18" t="s">
        <v>533</v>
      </c>
      <c r="P18" t="str" cm="1">
        <f t="array" ref="P18">IFERROR(INDEX('Cuisine Mapping'!$B$2:$B$71, MATCH(TRUE, ISNUMBER(SEARCH('Cuisine Mapping'!$A$2:$A$71,foodpanda_orders!$O18)),0)),"Others")</f>
        <v>Kabab/Grill</v>
      </c>
      <c r="Q18">
        <v>0</v>
      </c>
    </row>
    <row r="19" spans="1:17" x14ac:dyDescent="0.3">
      <c r="A19">
        <v>18</v>
      </c>
      <c r="B19" t="s">
        <v>798</v>
      </c>
      <c r="C19" s="2">
        <v>46110</v>
      </c>
      <c r="D19" s="3">
        <v>0</v>
      </c>
      <c r="E19" s="1" t="s">
        <v>17</v>
      </c>
      <c r="F19" s="1" t="s">
        <v>521</v>
      </c>
      <c r="G19" s="1">
        <v>2026</v>
      </c>
      <c r="H19" t="s">
        <v>18</v>
      </c>
      <c r="I19" t="s">
        <v>63</v>
      </c>
      <c r="J19">
        <v>363</v>
      </c>
      <c r="K19" t="s">
        <v>64</v>
      </c>
      <c r="L19" t="s">
        <v>65</v>
      </c>
      <c r="M19" t="s">
        <v>21</v>
      </c>
      <c r="N19" cm="1">
        <f t="array" ref="N19">SUMPRODUCT(--(TRIM(K19:M19)&lt;&gt;"-")*(TRIM(K19:M19)&lt;&gt;"")*(ISTEXT(K19:M19)))</f>
        <v>2</v>
      </c>
      <c r="O19" t="s">
        <v>548</v>
      </c>
      <c r="P19" t="str" cm="1">
        <f t="array" ref="P19">IFERROR(INDEX('Cuisine Mapping'!$B$2:$B$71, MATCH(TRUE, ISNUMBER(SEARCH('Cuisine Mapping'!$A$2:$A$71,foodpanda_orders!$O19)),0)),"Others")</f>
        <v>American/Fast Food</v>
      </c>
      <c r="Q19">
        <v>0</v>
      </c>
    </row>
    <row r="20" spans="1:17" x14ac:dyDescent="0.3">
      <c r="A20">
        <v>19</v>
      </c>
      <c r="B20" t="s">
        <v>799</v>
      </c>
      <c r="C20" s="2">
        <v>46108</v>
      </c>
      <c r="D20" s="3">
        <v>4.791666666666667E-2</v>
      </c>
      <c r="E20" s="1" t="s">
        <v>31</v>
      </c>
      <c r="F20" s="1" t="s">
        <v>521</v>
      </c>
      <c r="G20" s="1">
        <v>2026</v>
      </c>
      <c r="H20" t="s">
        <v>18</v>
      </c>
      <c r="I20" t="s">
        <v>66</v>
      </c>
      <c r="J20">
        <v>277</v>
      </c>
      <c r="K20" t="s">
        <v>67</v>
      </c>
      <c r="L20" t="s">
        <v>68</v>
      </c>
      <c r="M20" t="s">
        <v>69</v>
      </c>
      <c r="N20" cm="1">
        <f t="array" ref="N20">SUMPRODUCT(--(TRIM(K20:M20)&lt;&gt;"-")*(TRIM(K20:M20)&lt;&gt;"")*(ISTEXT(K20:M20)))</f>
        <v>3</v>
      </c>
      <c r="O20" t="s">
        <v>549</v>
      </c>
      <c r="P20" t="s">
        <v>748</v>
      </c>
      <c r="Q20">
        <v>2</v>
      </c>
    </row>
    <row r="21" spans="1:17" x14ac:dyDescent="0.3">
      <c r="A21">
        <v>20</v>
      </c>
      <c r="B21" t="s">
        <v>795</v>
      </c>
      <c r="C21" s="2">
        <v>46105</v>
      </c>
      <c r="D21" s="3">
        <v>0.85972222222222228</v>
      </c>
      <c r="E21" s="1" t="s">
        <v>12</v>
      </c>
      <c r="F21" s="1" t="s">
        <v>521</v>
      </c>
      <c r="G21" s="1">
        <v>2026</v>
      </c>
      <c r="H21" t="s">
        <v>18</v>
      </c>
      <c r="I21" t="s">
        <v>70</v>
      </c>
      <c r="J21">
        <v>548</v>
      </c>
      <c r="K21" t="s">
        <v>54</v>
      </c>
      <c r="L21" t="s">
        <v>71</v>
      </c>
      <c r="M21" t="s">
        <v>21</v>
      </c>
      <c r="N21" cm="1">
        <f t="array" ref="N21">SUMPRODUCT(--(TRIM(K21:M21)&lt;&gt;"-")*(TRIM(K21:M21)&lt;&gt;"")*(ISTEXT(K21:M21)))</f>
        <v>2</v>
      </c>
      <c r="O21" t="s">
        <v>550</v>
      </c>
      <c r="P21" t="s">
        <v>748</v>
      </c>
      <c r="Q21">
        <v>0</v>
      </c>
    </row>
    <row r="22" spans="1:17" x14ac:dyDescent="0.3">
      <c r="A22">
        <v>21</v>
      </c>
      <c r="B22" t="s">
        <v>800</v>
      </c>
      <c r="C22" s="2">
        <v>46102</v>
      </c>
      <c r="D22" s="3">
        <v>0.85138888888888886</v>
      </c>
      <c r="E22" s="1" t="s">
        <v>51</v>
      </c>
      <c r="F22" s="1" t="s">
        <v>521</v>
      </c>
      <c r="G22" s="1">
        <v>2026</v>
      </c>
      <c r="H22" t="s">
        <v>18</v>
      </c>
      <c r="I22" t="s">
        <v>72</v>
      </c>
      <c r="J22" s="4">
        <v>1855</v>
      </c>
      <c r="K22" t="s">
        <v>73</v>
      </c>
      <c r="L22" t="s">
        <v>21</v>
      </c>
      <c r="M22" t="s">
        <v>21</v>
      </c>
      <c r="N22" cm="1">
        <f t="array" ref="N22">SUMPRODUCT(--(TRIM(K22:M22)&lt;&gt;"-")*(TRIM(K22:M22)&lt;&gt;"")*(ISTEXT(K22:M22)))</f>
        <v>1</v>
      </c>
      <c r="O22" t="s">
        <v>551</v>
      </c>
      <c r="P22" t="str" cm="1">
        <f t="array" ref="P22">IFERROR(INDEX('Cuisine Mapping'!$B$2:$B$71, MATCH(TRUE, ISNUMBER(SEARCH('Cuisine Mapping'!$A$2:$A$71,foodpanda_orders!$O22)),0)),"Others")</f>
        <v>Others</v>
      </c>
      <c r="Q22">
        <v>0</v>
      </c>
    </row>
    <row r="23" spans="1:17" x14ac:dyDescent="0.3">
      <c r="A23">
        <v>22</v>
      </c>
      <c r="B23" t="s">
        <v>796</v>
      </c>
      <c r="C23" s="2">
        <v>46101</v>
      </c>
      <c r="D23" s="3">
        <v>2.222222222222222E-2</v>
      </c>
      <c r="E23" s="1" t="s">
        <v>31</v>
      </c>
      <c r="F23" s="1" t="s">
        <v>521</v>
      </c>
      <c r="G23" s="1">
        <v>2026</v>
      </c>
      <c r="H23" t="s">
        <v>18</v>
      </c>
      <c r="I23" t="s">
        <v>74</v>
      </c>
      <c r="J23">
        <v>326</v>
      </c>
      <c r="K23" t="s">
        <v>75</v>
      </c>
      <c r="L23" t="s">
        <v>21</v>
      </c>
      <c r="M23" t="s">
        <v>21</v>
      </c>
      <c r="N23" cm="1">
        <f t="array" ref="N23">SUMPRODUCT(--(TRIM(K23:M23)&lt;&gt;"-")*(TRIM(K23:M23)&lt;&gt;"")*(ISTEXT(K23:M23)))</f>
        <v>1</v>
      </c>
      <c r="O23" t="s">
        <v>552</v>
      </c>
      <c r="P23" t="str" cm="1">
        <f t="array" ref="P23">IFERROR(INDEX('Cuisine Mapping'!$B$2:$B$71, MATCH(TRUE, ISNUMBER(SEARCH('Cuisine Mapping'!$A$2:$A$71,foodpanda_orders!$O23)),0)),"Others")</f>
        <v>American/Fast Food</v>
      </c>
      <c r="Q23">
        <v>0</v>
      </c>
    </row>
    <row r="24" spans="1:17" x14ac:dyDescent="0.3">
      <c r="A24">
        <v>23</v>
      </c>
      <c r="B24" t="s">
        <v>782</v>
      </c>
      <c r="C24" s="2">
        <v>46099</v>
      </c>
      <c r="D24" s="3">
        <v>0.66111111111111109</v>
      </c>
      <c r="E24" s="1" t="s">
        <v>23</v>
      </c>
      <c r="F24" s="1" t="s">
        <v>521</v>
      </c>
      <c r="G24" s="1">
        <v>2026</v>
      </c>
      <c r="H24" t="s">
        <v>18</v>
      </c>
      <c r="I24" t="s">
        <v>76</v>
      </c>
      <c r="J24">
        <v>486</v>
      </c>
      <c r="K24" t="s">
        <v>77</v>
      </c>
      <c r="L24" t="s">
        <v>78</v>
      </c>
      <c r="M24" t="s">
        <v>21</v>
      </c>
      <c r="N24" cm="1">
        <f t="array" ref="N24">SUMPRODUCT(--(TRIM(K24:M24)&lt;&gt;"-")*(TRIM(K24:M24)&lt;&gt;"")*(ISTEXT(K24:M24)))</f>
        <v>2</v>
      </c>
      <c r="O24" t="s">
        <v>553</v>
      </c>
      <c r="P24" t="s">
        <v>748</v>
      </c>
      <c r="Q24">
        <v>0</v>
      </c>
    </row>
    <row r="25" spans="1:17" x14ac:dyDescent="0.3">
      <c r="A25">
        <v>24</v>
      </c>
      <c r="B25" t="s">
        <v>795</v>
      </c>
      <c r="C25" s="2">
        <v>46096</v>
      </c>
      <c r="D25" s="3">
        <v>3.3333333333333333E-2</v>
      </c>
      <c r="E25" s="1" t="s">
        <v>17</v>
      </c>
      <c r="F25" s="1" t="s">
        <v>521</v>
      </c>
      <c r="G25" s="1">
        <v>2026</v>
      </c>
      <c r="H25" t="s">
        <v>18</v>
      </c>
      <c r="I25" t="s">
        <v>79</v>
      </c>
      <c r="J25">
        <v>496</v>
      </c>
      <c r="K25" t="s">
        <v>80</v>
      </c>
      <c r="L25" t="s">
        <v>81</v>
      </c>
      <c r="M25" t="s">
        <v>21</v>
      </c>
      <c r="N25" cm="1">
        <f t="array" ref="N25">SUMPRODUCT(--(TRIM(K25:M25)&lt;&gt;"-")*(TRIM(K25:M25)&lt;&gt;"")*(ISTEXT(K25:M25)))</f>
        <v>2</v>
      </c>
      <c r="O25" t="s">
        <v>554</v>
      </c>
      <c r="P25" t="str" cm="1">
        <f t="array" ref="P25">IFERROR(INDEX('Cuisine Mapping'!$B$2:$B$71, MATCH(TRUE, ISNUMBER(SEARCH('Cuisine Mapping'!$A$2:$A$71,foodpanda_orders!$O25)),0)),"Others")</f>
        <v>American/Fast Food</v>
      </c>
      <c r="Q25">
        <v>0</v>
      </c>
    </row>
    <row r="26" spans="1:17" x14ac:dyDescent="0.3">
      <c r="A26">
        <v>25</v>
      </c>
      <c r="B26" t="s">
        <v>801</v>
      </c>
      <c r="C26" s="2">
        <v>46093</v>
      </c>
      <c r="D26" s="3">
        <v>0.91736111111111107</v>
      </c>
      <c r="E26" s="1" t="s">
        <v>46</v>
      </c>
      <c r="F26" s="1" t="s">
        <v>521</v>
      </c>
      <c r="G26" s="1">
        <v>2026</v>
      </c>
      <c r="H26" t="s">
        <v>18</v>
      </c>
      <c r="I26" t="s">
        <v>82</v>
      </c>
      <c r="J26">
        <v>728</v>
      </c>
      <c r="K26" t="s">
        <v>83</v>
      </c>
      <c r="L26" t="s">
        <v>21</v>
      </c>
      <c r="M26" t="s">
        <v>21</v>
      </c>
      <c r="N26" cm="1">
        <f t="array" ref="N26">SUMPRODUCT(--(TRIM(K26:M26)&lt;&gt;"-")*(TRIM(K26:M26)&lt;&gt;"")*(ISTEXT(K26:M26)))</f>
        <v>1</v>
      </c>
      <c r="O26" t="s">
        <v>555</v>
      </c>
      <c r="P26" t="str" cm="1">
        <f t="array" ref="P26">IFERROR(INDEX('Cuisine Mapping'!$B$2:$B$71, MATCH(TRUE, ISNUMBER(SEARCH('Cuisine Mapping'!$A$2:$A$71,foodpanda_orders!$O26)),0)),"Others")</f>
        <v>Salads/Light</v>
      </c>
      <c r="Q26">
        <v>0</v>
      </c>
    </row>
    <row r="27" spans="1:17" x14ac:dyDescent="0.3">
      <c r="A27">
        <v>26</v>
      </c>
      <c r="B27" t="s">
        <v>802</v>
      </c>
      <c r="C27" s="2">
        <v>46091</v>
      </c>
      <c r="D27" s="3">
        <v>0.75069444444444444</v>
      </c>
      <c r="E27" s="1" t="s">
        <v>12</v>
      </c>
      <c r="F27" s="1" t="s">
        <v>521</v>
      </c>
      <c r="G27" s="1">
        <v>2026</v>
      </c>
      <c r="H27" t="s">
        <v>18</v>
      </c>
      <c r="I27" t="s">
        <v>84</v>
      </c>
      <c r="J27" s="4">
        <v>1376</v>
      </c>
      <c r="K27" t="s">
        <v>85</v>
      </c>
      <c r="L27" t="s">
        <v>21</v>
      </c>
      <c r="M27" t="s">
        <v>21</v>
      </c>
      <c r="N27" cm="1">
        <f t="array" ref="N27">SUMPRODUCT(--(TRIM(K27:M27)&lt;&gt;"-")*(TRIM(K27:M27)&lt;&gt;"")*(ISTEXT(K27:M27)))</f>
        <v>1</v>
      </c>
      <c r="O27" t="s">
        <v>556</v>
      </c>
      <c r="P27" t="s">
        <v>748</v>
      </c>
      <c r="Q27">
        <v>0</v>
      </c>
    </row>
    <row r="28" spans="1:17" x14ac:dyDescent="0.3">
      <c r="A28">
        <v>27</v>
      </c>
      <c r="B28" t="s">
        <v>803</v>
      </c>
      <c r="C28" s="2">
        <v>46085</v>
      </c>
      <c r="D28" s="3">
        <v>0.95694444444444449</v>
      </c>
      <c r="E28" s="1" t="s">
        <v>23</v>
      </c>
      <c r="F28" s="1" t="s">
        <v>521</v>
      </c>
      <c r="G28" s="1">
        <v>2026</v>
      </c>
      <c r="H28" t="s">
        <v>18</v>
      </c>
      <c r="I28" t="s">
        <v>86</v>
      </c>
      <c r="J28">
        <v>448</v>
      </c>
      <c r="K28" t="s">
        <v>87</v>
      </c>
      <c r="L28" t="s">
        <v>88</v>
      </c>
      <c r="M28" t="s">
        <v>21</v>
      </c>
      <c r="N28" cm="1">
        <f t="array" ref="N28">SUMPRODUCT(--(TRIM(K28:M28)&lt;&gt;"-")*(TRIM(K28:M28)&lt;&gt;"")*(ISTEXT(K28:M28)))</f>
        <v>2</v>
      </c>
      <c r="O28" t="s">
        <v>557</v>
      </c>
      <c r="P28" t="str" cm="1">
        <f t="array" ref="P28">IFERROR(INDEX('Cuisine Mapping'!$B$2:$B$71, MATCH(TRUE, ISNUMBER(SEARCH('Cuisine Mapping'!$A$2:$A$71,foodpanda_orders!$O28)),0)),"Others")</f>
        <v>Bengali/Desi</v>
      </c>
      <c r="Q28">
        <v>0</v>
      </c>
    </row>
    <row r="29" spans="1:17" x14ac:dyDescent="0.3">
      <c r="A29">
        <v>28</v>
      </c>
      <c r="B29" t="s">
        <v>791</v>
      </c>
      <c r="C29" s="2">
        <v>46084</v>
      </c>
      <c r="D29" s="3">
        <v>0.99791666666666667</v>
      </c>
      <c r="E29" s="1" t="s">
        <v>12</v>
      </c>
      <c r="F29" s="1" t="s">
        <v>521</v>
      </c>
      <c r="G29" s="1">
        <v>2026</v>
      </c>
      <c r="H29" t="s">
        <v>18</v>
      </c>
      <c r="I29" t="s">
        <v>89</v>
      </c>
      <c r="J29">
        <v>329</v>
      </c>
      <c r="K29" t="s">
        <v>90</v>
      </c>
      <c r="L29" t="s">
        <v>91</v>
      </c>
      <c r="M29" t="s">
        <v>21</v>
      </c>
      <c r="N29" cm="1">
        <f t="array" ref="N29">SUMPRODUCT(--(TRIM(K29:M29)&lt;&gt;"-")*(TRIM(K29:M29)&lt;&gt;"")*(ISTEXT(K29:M29)))</f>
        <v>2</v>
      </c>
      <c r="O29" t="s">
        <v>558</v>
      </c>
      <c r="P29" t="str" cm="1">
        <f t="array" ref="P29">IFERROR(INDEX('Cuisine Mapping'!$B$2:$B$71, MATCH(TRUE, ISNUMBER(SEARCH('Cuisine Mapping'!$A$2:$A$71,foodpanda_orders!$O29)),0)),"Others")</f>
        <v>American/Fast Food</v>
      </c>
      <c r="Q29">
        <v>0</v>
      </c>
    </row>
    <row r="30" spans="1:17" x14ac:dyDescent="0.3">
      <c r="A30">
        <v>29</v>
      </c>
      <c r="B30" t="s">
        <v>804</v>
      </c>
      <c r="C30" s="2">
        <v>46078</v>
      </c>
      <c r="D30" s="3">
        <v>0.93680555555555556</v>
      </c>
      <c r="E30" s="1" t="s">
        <v>23</v>
      </c>
      <c r="F30" s="1" t="s">
        <v>522</v>
      </c>
      <c r="G30" s="1">
        <v>2026</v>
      </c>
      <c r="H30" t="s">
        <v>18</v>
      </c>
      <c r="I30" t="s">
        <v>92</v>
      </c>
      <c r="J30">
        <v>359</v>
      </c>
      <c r="K30" t="s">
        <v>93</v>
      </c>
      <c r="L30" t="s">
        <v>21</v>
      </c>
      <c r="M30" t="s">
        <v>21</v>
      </c>
      <c r="N30" cm="1">
        <f t="array" ref="N30">SUMPRODUCT(--(TRIM(K30:M30)&lt;&gt;"-")*(TRIM(K30:M30)&lt;&gt;"")*(ISTEXT(K30:M30)))</f>
        <v>1</v>
      </c>
      <c r="O30" t="s">
        <v>559</v>
      </c>
      <c r="P30" t="str" cm="1">
        <f t="array" ref="P30">IFERROR(INDEX('Cuisine Mapping'!$B$2:$B$71, MATCH(TRUE, ISNUMBER(SEARCH('Cuisine Mapping'!$A$2:$A$71,foodpanda_orders!$O30)),0)),"Others")</f>
        <v>Salads/Light</v>
      </c>
      <c r="Q30">
        <v>0</v>
      </c>
    </row>
    <row r="31" spans="1:17" x14ac:dyDescent="0.3">
      <c r="A31">
        <v>30</v>
      </c>
      <c r="B31" t="s">
        <v>800</v>
      </c>
      <c r="C31" s="2">
        <v>46073</v>
      </c>
      <c r="D31" s="3">
        <v>0.98055555555555551</v>
      </c>
      <c r="E31" s="1" t="s">
        <v>31</v>
      </c>
      <c r="F31" s="1" t="s">
        <v>522</v>
      </c>
      <c r="G31" s="1">
        <v>2026</v>
      </c>
      <c r="H31" t="s">
        <v>18</v>
      </c>
      <c r="I31" t="s">
        <v>94</v>
      </c>
      <c r="J31">
        <v>537</v>
      </c>
      <c r="K31" t="s">
        <v>95</v>
      </c>
      <c r="L31" t="s">
        <v>96</v>
      </c>
      <c r="M31" t="s">
        <v>21</v>
      </c>
      <c r="N31" cm="1">
        <f t="array" ref="N31">SUMPRODUCT(--(TRIM(K31:M31)&lt;&gt;"-")*(TRIM(K31:M31)&lt;&gt;"")*(ISTEXT(K31:M31)))</f>
        <v>2</v>
      </c>
      <c r="O31" t="s">
        <v>560</v>
      </c>
      <c r="P31" t="s">
        <v>730</v>
      </c>
      <c r="Q31">
        <v>0</v>
      </c>
    </row>
    <row r="32" spans="1:17" x14ac:dyDescent="0.3">
      <c r="A32">
        <v>31</v>
      </c>
      <c r="B32" t="s">
        <v>803</v>
      </c>
      <c r="C32" s="2">
        <v>46063</v>
      </c>
      <c r="D32" s="3">
        <v>0.90416666666666667</v>
      </c>
      <c r="E32" s="1" t="s">
        <v>12</v>
      </c>
      <c r="F32" s="1" t="s">
        <v>522</v>
      </c>
      <c r="G32" s="1">
        <v>2026</v>
      </c>
      <c r="H32" t="s">
        <v>18</v>
      </c>
      <c r="I32" t="s">
        <v>97</v>
      </c>
      <c r="J32">
        <v>668</v>
      </c>
      <c r="K32" t="s">
        <v>98</v>
      </c>
      <c r="L32" t="s">
        <v>21</v>
      </c>
      <c r="M32" t="s">
        <v>21</v>
      </c>
      <c r="N32" cm="1">
        <f t="array" ref="N32">SUMPRODUCT(--(TRIM(K32:M32)&lt;&gt;"-")*(TRIM(K32:M32)&lt;&gt;"")*(ISTEXT(K32:M32)))</f>
        <v>1</v>
      </c>
      <c r="O32" t="s">
        <v>561</v>
      </c>
      <c r="P32" t="str" cm="1">
        <f t="array" ref="P32">IFERROR(INDEX('Cuisine Mapping'!$B$2:$B$71, MATCH(TRUE, ISNUMBER(SEARCH('Cuisine Mapping'!$A$2:$A$71,foodpanda_orders!$O32)),0)),"Others")</f>
        <v>Bengali/Desi</v>
      </c>
      <c r="Q32">
        <v>0</v>
      </c>
    </row>
    <row r="33" spans="1:17" x14ac:dyDescent="0.3">
      <c r="A33">
        <v>32</v>
      </c>
      <c r="B33" t="s">
        <v>805</v>
      </c>
      <c r="C33" s="2">
        <v>46056</v>
      </c>
      <c r="D33" s="3">
        <v>0.92500000000000004</v>
      </c>
      <c r="E33" s="1" t="s">
        <v>12</v>
      </c>
      <c r="F33" s="1" t="s">
        <v>522</v>
      </c>
      <c r="G33" s="1">
        <v>2026</v>
      </c>
      <c r="H33" t="s">
        <v>18</v>
      </c>
      <c r="I33" t="s">
        <v>99</v>
      </c>
      <c r="J33">
        <v>406</v>
      </c>
      <c r="K33" t="s">
        <v>100</v>
      </c>
      <c r="L33" t="s">
        <v>21</v>
      </c>
      <c r="M33" t="s">
        <v>21</v>
      </c>
      <c r="N33" cm="1">
        <f t="array" ref="N33">SUMPRODUCT(--(TRIM(K33:M33)&lt;&gt;"-")*(TRIM(K33:M33)&lt;&gt;"")*(ISTEXT(K33:M33)))</f>
        <v>1</v>
      </c>
      <c r="O33" t="s">
        <v>562</v>
      </c>
      <c r="P33" t="str" cm="1">
        <f t="array" ref="P33">IFERROR(INDEX('Cuisine Mapping'!$B$2:$B$71, MATCH(TRUE, ISNUMBER(SEARCH('Cuisine Mapping'!$A$2:$A$71,foodpanda_orders!$O33)),0)),"Others")</f>
        <v>Bengali/Desi</v>
      </c>
      <c r="Q33">
        <v>0</v>
      </c>
    </row>
    <row r="34" spans="1:17" x14ac:dyDescent="0.3">
      <c r="A34">
        <v>33</v>
      </c>
      <c r="B34" t="s">
        <v>803</v>
      </c>
      <c r="C34" s="2">
        <v>46052</v>
      </c>
      <c r="D34" s="3">
        <v>0.91527777777777775</v>
      </c>
      <c r="E34" s="1" t="s">
        <v>31</v>
      </c>
      <c r="F34" s="1" t="s">
        <v>523</v>
      </c>
      <c r="G34" s="1">
        <v>2026</v>
      </c>
      <c r="H34" t="s">
        <v>18</v>
      </c>
      <c r="I34" t="s">
        <v>101</v>
      </c>
      <c r="J34">
        <v>376</v>
      </c>
      <c r="K34" t="s">
        <v>102</v>
      </c>
      <c r="L34" t="s">
        <v>103</v>
      </c>
      <c r="M34" t="s">
        <v>21</v>
      </c>
      <c r="N34" cm="1">
        <f t="array" ref="N34">SUMPRODUCT(--(TRIM(K34:M34)&lt;&gt;"-")*(TRIM(K34:M34)&lt;&gt;"")*(ISTEXT(K34:M34)))</f>
        <v>2</v>
      </c>
      <c r="O34" t="s">
        <v>563</v>
      </c>
      <c r="P34" t="s">
        <v>699</v>
      </c>
      <c r="Q34">
        <v>0</v>
      </c>
    </row>
    <row r="35" spans="1:17" x14ac:dyDescent="0.3">
      <c r="A35">
        <v>34</v>
      </c>
      <c r="B35" t="s">
        <v>806</v>
      </c>
      <c r="C35" s="2">
        <v>46052</v>
      </c>
      <c r="D35" s="3">
        <v>0.91527777777777775</v>
      </c>
      <c r="E35" s="1" t="s">
        <v>31</v>
      </c>
      <c r="F35" s="1" t="s">
        <v>523</v>
      </c>
      <c r="G35" s="1">
        <v>2026</v>
      </c>
      <c r="H35" t="s">
        <v>18</v>
      </c>
      <c r="I35" t="s">
        <v>104</v>
      </c>
      <c r="J35">
        <v>491</v>
      </c>
      <c r="K35" t="s">
        <v>105</v>
      </c>
      <c r="L35" t="s">
        <v>106</v>
      </c>
      <c r="M35" t="s">
        <v>21</v>
      </c>
      <c r="N35" cm="1">
        <f t="array" ref="N35">SUMPRODUCT(--(TRIM(K35:M35)&lt;&gt;"-")*(TRIM(K35:M35)&lt;&gt;"")*(ISTEXT(K35:M35)))</f>
        <v>2</v>
      </c>
      <c r="O35" t="s">
        <v>564</v>
      </c>
      <c r="P35" t="str" cm="1">
        <f t="array" ref="P35">IFERROR(INDEX('Cuisine Mapping'!$B$2:$B$71, MATCH(TRUE, ISNUMBER(SEARCH('Cuisine Mapping'!$A$2:$A$71,foodpanda_orders!$O35)),0)),"Others")</f>
        <v>Bengali/Desi</v>
      </c>
      <c r="Q35">
        <v>0</v>
      </c>
    </row>
    <row r="36" spans="1:17" x14ac:dyDescent="0.3">
      <c r="A36">
        <v>35</v>
      </c>
      <c r="B36" t="s">
        <v>798</v>
      </c>
      <c r="C36" s="2">
        <v>46049</v>
      </c>
      <c r="D36" s="3">
        <v>0.97499999999999998</v>
      </c>
      <c r="E36" s="1" t="s">
        <v>12</v>
      </c>
      <c r="F36" s="1" t="s">
        <v>523</v>
      </c>
      <c r="G36" s="1">
        <v>2026</v>
      </c>
      <c r="H36" t="s">
        <v>18</v>
      </c>
      <c r="I36" t="s">
        <v>107</v>
      </c>
      <c r="J36">
        <v>490</v>
      </c>
      <c r="K36" t="s">
        <v>108</v>
      </c>
      <c r="L36" t="s">
        <v>109</v>
      </c>
      <c r="M36" t="s">
        <v>21</v>
      </c>
      <c r="N36" cm="1">
        <f t="array" ref="N36">SUMPRODUCT(--(TRIM(K36:M36)&lt;&gt;"-")*(TRIM(K36:M36)&lt;&gt;"")*(ISTEXT(K36:M36)))</f>
        <v>2</v>
      </c>
      <c r="O36" t="s">
        <v>565</v>
      </c>
      <c r="P36" t="str" cm="1">
        <f t="array" ref="P36">IFERROR(INDEX('Cuisine Mapping'!$B$2:$B$71, MATCH(TRUE, ISNUMBER(SEARCH('Cuisine Mapping'!$A$2:$A$71,foodpanda_orders!$O36)),0)),"Others")</f>
        <v>American/Fast Food</v>
      </c>
      <c r="Q36">
        <v>0</v>
      </c>
    </row>
    <row r="37" spans="1:17" x14ac:dyDescent="0.3">
      <c r="A37">
        <v>36</v>
      </c>
      <c r="B37" t="s">
        <v>782</v>
      </c>
      <c r="C37" s="2">
        <v>46046</v>
      </c>
      <c r="D37" s="3">
        <v>0.63263888888888886</v>
      </c>
      <c r="E37" s="1" t="s">
        <v>51</v>
      </c>
      <c r="F37" s="1" t="s">
        <v>523</v>
      </c>
      <c r="G37" s="1">
        <v>2026</v>
      </c>
      <c r="H37" t="s">
        <v>18</v>
      </c>
      <c r="I37" t="s">
        <v>110</v>
      </c>
      <c r="J37">
        <v>497</v>
      </c>
      <c r="K37" t="s">
        <v>111</v>
      </c>
      <c r="L37" t="s">
        <v>28</v>
      </c>
      <c r="M37" t="s">
        <v>21</v>
      </c>
      <c r="N37" cm="1">
        <f t="array" ref="N37">SUMPRODUCT(--(TRIM(K37:M37)&lt;&gt;"-")*(TRIM(K37:M37)&lt;&gt;"")*(ISTEXT(K37:M37)))</f>
        <v>2</v>
      </c>
      <c r="O37" t="s">
        <v>566</v>
      </c>
      <c r="P37" t="str" cm="1">
        <f t="array" ref="P37">IFERROR(INDEX('Cuisine Mapping'!$B$2:$B$71, MATCH(TRUE, ISNUMBER(SEARCH('Cuisine Mapping'!$A$2:$A$71,foodpanda_orders!$O37)),0)),"Others")</f>
        <v>American/Fast Food</v>
      </c>
      <c r="Q37">
        <v>0</v>
      </c>
    </row>
    <row r="38" spans="1:17" x14ac:dyDescent="0.3">
      <c r="A38">
        <v>37</v>
      </c>
      <c r="B38" t="s">
        <v>782</v>
      </c>
      <c r="C38" s="2">
        <v>46046</v>
      </c>
      <c r="D38" s="3">
        <v>0.63124999999999998</v>
      </c>
      <c r="E38" s="1" t="s">
        <v>51</v>
      </c>
      <c r="F38" s="1" t="s">
        <v>523</v>
      </c>
      <c r="G38" s="1">
        <v>2026</v>
      </c>
      <c r="H38" t="s">
        <v>18</v>
      </c>
      <c r="I38" t="s">
        <v>112</v>
      </c>
      <c r="J38">
        <v>529</v>
      </c>
      <c r="K38" t="s">
        <v>113</v>
      </c>
      <c r="L38" t="s">
        <v>28</v>
      </c>
      <c r="M38" t="s">
        <v>21</v>
      </c>
      <c r="N38" cm="1">
        <f t="array" ref="N38">SUMPRODUCT(--(TRIM(K38:M38)&lt;&gt;"-")*(TRIM(K38:M38)&lt;&gt;"")*(ISTEXT(K38:M38)))</f>
        <v>2</v>
      </c>
      <c r="O38" t="s">
        <v>567</v>
      </c>
      <c r="P38" t="str" cm="1">
        <f t="array" ref="P38">IFERROR(INDEX('Cuisine Mapping'!$B$2:$B$71, MATCH(TRUE, ISNUMBER(SEARCH('Cuisine Mapping'!$A$2:$A$71,foodpanda_orders!$O38)),0)),"Others")</f>
        <v>American/Fast Food</v>
      </c>
      <c r="Q38">
        <v>0</v>
      </c>
    </row>
    <row r="39" spans="1:17" x14ac:dyDescent="0.3">
      <c r="A39">
        <v>38</v>
      </c>
      <c r="B39" t="s">
        <v>792</v>
      </c>
      <c r="C39" s="2">
        <v>46045</v>
      </c>
      <c r="D39" s="3">
        <v>6.9444444444444447E-4</v>
      </c>
      <c r="E39" s="1" t="s">
        <v>31</v>
      </c>
      <c r="F39" s="1" t="s">
        <v>523</v>
      </c>
      <c r="G39" s="1">
        <v>2026</v>
      </c>
      <c r="H39" t="s">
        <v>18</v>
      </c>
      <c r="I39" t="s">
        <v>114</v>
      </c>
      <c r="J39">
        <v>488</v>
      </c>
      <c r="K39" t="s">
        <v>64</v>
      </c>
      <c r="L39" t="s">
        <v>115</v>
      </c>
      <c r="M39" t="s">
        <v>21</v>
      </c>
      <c r="N39" cm="1">
        <f t="array" ref="N39">SUMPRODUCT(--(TRIM(K39:M39)&lt;&gt;"-")*(TRIM(K39:M39)&lt;&gt;"")*(ISTEXT(K39:M39)))</f>
        <v>2</v>
      </c>
      <c r="O39" t="s">
        <v>548</v>
      </c>
      <c r="P39" t="str" cm="1">
        <f t="array" ref="P39">IFERROR(INDEX('Cuisine Mapping'!$B$2:$B$71, MATCH(TRUE, ISNUMBER(SEARCH('Cuisine Mapping'!$A$2:$A$71,foodpanda_orders!$O39)),0)),"Others")</f>
        <v>American/Fast Food</v>
      </c>
      <c r="Q39">
        <v>0</v>
      </c>
    </row>
    <row r="40" spans="1:17" x14ac:dyDescent="0.3">
      <c r="A40">
        <v>39</v>
      </c>
      <c r="B40" t="s">
        <v>783</v>
      </c>
      <c r="C40" s="2">
        <v>46036</v>
      </c>
      <c r="D40" s="3">
        <v>0.53125</v>
      </c>
      <c r="E40" s="1" t="s">
        <v>23</v>
      </c>
      <c r="F40" s="1" t="s">
        <v>523</v>
      </c>
      <c r="G40" s="1">
        <v>2026</v>
      </c>
      <c r="H40" t="s">
        <v>18</v>
      </c>
      <c r="I40" t="s">
        <v>116</v>
      </c>
      <c r="J40">
        <v>812</v>
      </c>
      <c r="K40" t="s">
        <v>117</v>
      </c>
      <c r="L40" t="s">
        <v>21</v>
      </c>
      <c r="M40" t="s">
        <v>21</v>
      </c>
      <c r="N40" cm="1">
        <f t="array" ref="N40">SUMPRODUCT(--(TRIM(K40:M40)&lt;&gt;"-")*(TRIM(K40:M40)&lt;&gt;"")*(ISTEXT(K40:M40)))</f>
        <v>1</v>
      </c>
      <c r="O40" t="s">
        <v>568</v>
      </c>
      <c r="P40" t="str" cm="1">
        <f t="array" ref="P40">IFERROR(INDEX('Cuisine Mapping'!$B$2:$B$71, MATCH(TRUE, ISNUMBER(SEARCH('Cuisine Mapping'!$A$2:$A$71,foodpanda_orders!$O40)),0)),"Others")</f>
        <v>Bengali/Desi</v>
      </c>
      <c r="Q40">
        <v>0</v>
      </c>
    </row>
    <row r="41" spans="1:17" x14ac:dyDescent="0.3">
      <c r="A41">
        <v>40</v>
      </c>
      <c r="B41" t="s">
        <v>787</v>
      </c>
      <c r="C41" s="2">
        <v>46031</v>
      </c>
      <c r="D41" s="3">
        <v>0.91736111111111107</v>
      </c>
      <c r="E41" s="1" t="s">
        <v>31</v>
      </c>
      <c r="F41" s="1" t="s">
        <v>523</v>
      </c>
      <c r="G41" s="1">
        <v>2026</v>
      </c>
      <c r="H41" t="s">
        <v>18</v>
      </c>
      <c r="I41" t="s">
        <v>118</v>
      </c>
      <c r="J41">
        <v>540</v>
      </c>
      <c r="K41" t="s">
        <v>15</v>
      </c>
      <c r="L41" t="s">
        <v>119</v>
      </c>
      <c r="M41" t="s">
        <v>120</v>
      </c>
      <c r="N41" cm="1">
        <f t="array" ref="N41">SUMPRODUCT(--(TRIM(K41:M41)&lt;&gt;"-")*(TRIM(K41:M41)&lt;&gt;"")*(ISTEXT(K41:M41)))</f>
        <v>3</v>
      </c>
      <c r="O41" t="s">
        <v>533</v>
      </c>
      <c r="P41" t="str" cm="1">
        <f t="array" ref="P41">IFERROR(INDEX('Cuisine Mapping'!$B$2:$B$71, MATCH(TRUE, ISNUMBER(SEARCH('Cuisine Mapping'!$A$2:$A$71,foodpanda_orders!$O41)),0)),"Others")</f>
        <v>Kabab/Grill</v>
      </c>
      <c r="Q41">
        <v>0</v>
      </c>
    </row>
    <row r="42" spans="1:17" x14ac:dyDescent="0.3">
      <c r="A42">
        <v>41</v>
      </c>
      <c r="B42" t="s">
        <v>806</v>
      </c>
      <c r="C42" s="2">
        <v>46029</v>
      </c>
      <c r="D42" s="3">
        <v>0.59027777777777779</v>
      </c>
      <c r="E42" s="1" t="s">
        <v>23</v>
      </c>
      <c r="F42" s="1" t="s">
        <v>523</v>
      </c>
      <c r="G42" s="1">
        <v>2026</v>
      </c>
      <c r="H42" t="s">
        <v>18</v>
      </c>
      <c r="I42" t="s">
        <v>121</v>
      </c>
      <c r="J42">
        <v>441</v>
      </c>
      <c r="K42" t="s">
        <v>122</v>
      </c>
      <c r="L42" t="s">
        <v>106</v>
      </c>
      <c r="M42" t="s">
        <v>21</v>
      </c>
      <c r="N42" cm="1">
        <f t="array" ref="N42">SUMPRODUCT(--(TRIM(K42:M42)&lt;&gt;"-")*(TRIM(K42:M42)&lt;&gt;"")*(ISTEXT(K42:M42)))</f>
        <v>2</v>
      </c>
      <c r="O42" t="s">
        <v>569</v>
      </c>
      <c r="P42" t="str" cm="1">
        <f t="array" ref="P42">IFERROR(INDEX('Cuisine Mapping'!$B$2:$B$71, MATCH(TRUE, ISNUMBER(SEARCH('Cuisine Mapping'!$A$2:$A$71,foodpanda_orders!$O42)),0)),"Others")</f>
        <v>Bengali/Desi</v>
      </c>
      <c r="Q42">
        <v>0</v>
      </c>
    </row>
    <row r="43" spans="1:17" x14ac:dyDescent="0.3">
      <c r="A43">
        <v>42</v>
      </c>
      <c r="B43" t="s">
        <v>807</v>
      </c>
      <c r="C43" s="2">
        <v>46026</v>
      </c>
      <c r="D43" s="3">
        <v>0.97986111111111107</v>
      </c>
      <c r="E43" s="1" t="s">
        <v>17</v>
      </c>
      <c r="F43" s="1" t="s">
        <v>523</v>
      </c>
      <c r="G43" s="1">
        <v>2026</v>
      </c>
      <c r="H43" t="s">
        <v>18</v>
      </c>
      <c r="I43" t="s">
        <v>123</v>
      </c>
      <c r="J43">
        <v>887</v>
      </c>
      <c r="K43" t="s">
        <v>124</v>
      </c>
      <c r="L43" t="s">
        <v>125</v>
      </c>
      <c r="M43" t="s">
        <v>126</v>
      </c>
      <c r="N43" cm="1">
        <f t="array" ref="N43">SUMPRODUCT(--(TRIM(K43:M43)&lt;&gt;"-")*(TRIM(K43:M43)&lt;&gt;"")*(ISTEXT(K43:M43)))</f>
        <v>3</v>
      </c>
      <c r="O43" t="s">
        <v>570</v>
      </c>
      <c r="P43" t="str" cm="1">
        <f t="array" ref="P43">IFERROR(INDEX('Cuisine Mapping'!$B$2:$B$71, MATCH(TRUE, ISNUMBER(SEARCH('Cuisine Mapping'!$A$2:$A$71,foodpanda_orders!$O43)),0)),"Others")</f>
        <v>Rice Bowls</v>
      </c>
      <c r="Q43">
        <v>0</v>
      </c>
    </row>
    <row r="44" spans="1:17" x14ac:dyDescent="0.3">
      <c r="A44">
        <v>43</v>
      </c>
      <c r="B44" t="s">
        <v>808</v>
      </c>
      <c r="C44" s="2">
        <v>46022</v>
      </c>
      <c r="D44" s="3">
        <v>0.89652777777777781</v>
      </c>
      <c r="E44" s="1" t="s">
        <v>23</v>
      </c>
      <c r="F44" s="1" t="s">
        <v>524</v>
      </c>
      <c r="G44" s="1">
        <v>2025</v>
      </c>
      <c r="H44" t="s">
        <v>18</v>
      </c>
      <c r="I44" t="s">
        <v>127</v>
      </c>
      <c r="J44">
        <v>610</v>
      </c>
      <c r="K44" t="s">
        <v>64</v>
      </c>
      <c r="L44" t="s">
        <v>128</v>
      </c>
      <c r="M44" t="s">
        <v>21</v>
      </c>
      <c r="N44" cm="1">
        <f t="array" ref="N44">SUMPRODUCT(--(TRIM(K44:M44)&lt;&gt;"-")*(TRIM(K44:M44)&lt;&gt;"")*(ISTEXT(K44:M44)))</f>
        <v>2</v>
      </c>
      <c r="O44" t="s">
        <v>548</v>
      </c>
      <c r="P44" t="str" cm="1">
        <f t="array" ref="P44">IFERROR(INDEX('Cuisine Mapping'!$B$2:$B$71, MATCH(TRUE, ISNUMBER(SEARCH('Cuisine Mapping'!$A$2:$A$71,foodpanda_orders!$O44)),0)),"Others")</f>
        <v>American/Fast Food</v>
      </c>
      <c r="Q44">
        <v>0</v>
      </c>
    </row>
    <row r="45" spans="1:17" x14ac:dyDescent="0.3">
      <c r="A45">
        <v>44</v>
      </c>
      <c r="B45" t="s">
        <v>809</v>
      </c>
      <c r="C45" s="2">
        <v>46015</v>
      </c>
      <c r="D45" s="3">
        <v>0.90555555555555556</v>
      </c>
      <c r="E45" s="1" t="s">
        <v>23</v>
      </c>
      <c r="F45" s="1" t="s">
        <v>524</v>
      </c>
      <c r="G45" s="1">
        <v>2025</v>
      </c>
      <c r="H45" t="s">
        <v>18</v>
      </c>
      <c r="I45" t="s">
        <v>129</v>
      </c>
      <c r="J45">
        <v>690</v>
      </c>
      <c r="K45" t="s">
        <v>130</v>
      </c>
      <c r="L45" t="s">
        <v>131</v>
      </c>
      <c r="M45" t="s">
        <v>132</v>
      </c>
      <c r="N45" cm="1">
        <f t="array" ref="N45">SUMPRODUCT(--(TRIM(K45:M45)&lt;&gt;"-")*(TRIM(K45:M45)&lt;&gt;"")*(ISTEXT(K45:M45)))</f>
        <v>3</v>
      </c>
      <c r="O45" t="s">
        <v>571</v>
      </c>
      <c r="P45" t="str" cm="1">
        <f t="array" ref="P45">IFERROR(INDEX('Cuisine Mapping'!$B$2:$B$71, MATCH(TRUE, ISNUMBER(SEARCH('Cuisine Mapping'!$A$2:$A$71,foodpanda_orders!$O45)),0)),"Others")</f>
        <v>American/Fast Food</v>
      </c>
      <c r="Q45">
        <v>0</v>
      </c>
    </row>
    <row r="46" spans="1:17" x14ac:dyDescent="0.3">
      <c r="A46">
        <v>45</v>
      </c>
      <c r="B46" t="s">
        <v>787</v>
      </c>
      <c r="C46" s="2">
        <v>46004</v>
      </c>
      <c r="D46" s="3">
        <v>0.86944444444444446</v>
      </c>
      <c r="E46" s="1" t="s">
        <v>51</v>
      </c>
      <c r="F46" s="1" t="s">
        <v>524</v>
      </c>
      <c r="G46" s="1">
        <v>2025</v>
      </c>
      <c r="H46" t="s">
        <v>18</v>
      </c>
      <c r="I46" t="s">
        <v>133</v>
      </c>
      <c r="J46" s="4">
        <v>1249</v>
      </c>
      <c r="K46" t="s">
        <v>15</v>
      </c>
      <c r="L46" t="s">
        <v>15</v>
      </c>
      <c r="M46" t="s">
        <v>134</v>
      </c>
      <c r="N46" cm="1">
        <f t="array" ref="N46">SUMPRODUCT(--(TRIM(K46:M46)&lt;&gt;"-")*(TRIM(K46:M46)&lt;&gt;"")*(ISTEXT(K46:M46)))</f>
        <v>3</v>
      </c>
      <c r="O46" t="s">
        <v>533</v>
      </c>
      <c r="P46" t="str" cm="1">
        <f t="array" ref="P46">IFERROR(INDEX('Cuisine Mapping'!$B$2:$B$71, MATCH(TRUE, ISNUMBER(SEARCH('Cuisine Mapping'!$A$2:$A$71,foodpanda_orders!$O46)),0)),"Others")</f>
        <v>Kabab/Grill</v>
      </c>
      <c r="Q46">
        <v>0</v>
      </c>
    </row>
    <row r="47" spans="1:17" x14ac:dyDescent="0.3">
      <c r="A47">
        <v>46</v>
      </c>
      <c r="B47" t="s">
        <v>784</v>
      </c>
      <c r="C47" s="2">
        <v>46003</v>
      </c>
      <c r="D47" s="3">
        <v>0.49027777777777781</v>
      </c>
      <c r="E47" s="1" t="s">
        <v>31</v>
      </c>
      <c r="F47" s="1" t="s">
        <v>524</v>
      </c>
      <c r="G47" s="1">
        <v>2025</v>
      </c>
      <c r="H47" t="s">
        <v>18</v>
      </c>
      <c r="I47" t="s">
        <v>135</v>
      </c>
      <c r="J47">
        <v>563</v>
      </c>
      <c r="K47" t="s">
        <v>136</v>
      </c>
      <c r="L47" t="s">
        <v>137</v>
      </c>
      <c r="M47" t="s">
        <v>21</v>
      </c>
      <c r="N47" cm="1">
        <f t="array" ref="N47">SUMPRODUCT(--(TRIM(K47:M47)&lt;&gt;"-")*(TRIM(K47:M47)&lt;&gt;"")*(ISTEXT(K47:M47)))</f>
        <v>2</v>
      </c>
      <c r="O47" t="s">
        <v>572</v>
      </c>
      <c r="P47" t="str" cm="1">
        <f t="array" ref="P47">IFERROR(INDEX('Cuisine Mapping'!$B$2:$B$71, MATCH(TRUE, ISNUMBER(SEARCH('Cuisine Mapping'!$A$2:$A$71,foodpanda_orders!$O47)),0)),"Others")</f>
        <v>Italian/Pizza</v>
      </c>
      <c r="Q47">
        <v>0</v>
      </c>
    </row>
    <row r="48" spans="1:17" x14ac:dyDescent="0.3">
      <c r="A48">
        <v>47</v>
      </c>
      <c r="B48" t="s">
        <v>810</v>
      </c>
      <c r="C48" s="2">
        <v>45997</v>
      </c>
      <c r="D48" s="3">
        <v>0.94166666666666665</v>
      </c>
      <c r="E48" s="1" t="s">
        <v>51</v>
      </c>
      <c r="F48" s="1" t="s">
        <v>524</v>
      </c>
      <c r="G48" s="1">
        <v>2025</v>
      </c>
      <c r="H48" t="s">
        <v>18</v>
      </c>
      <c r="I48" t="s">
        <v>138</v>
      </c>
      <c r="J48">
        <v>416</v>
      </c>
      <c r="K48" t="s">
        <v>139</v>
      </c>
      <c r="L48" t="s">
        <v>21</v>
      </c>
      <c r="M48" t="s">
        <v>21</v>
      </c>
      <c r="N48" cm="1">
        <f t="array" ref="N48">SUMPRODUCT(--(TRIM(K48:M48)&lt;&gt;"-")*(TRIM(K48:M48)&lt;&gt;"")*(ISTEXT(K48:M48)))</f>
        <v>1</v>
      </c>
      <c r="O48" t="s">
        <v>573</v>
      </c>
      <c r="P48" t="str" cm="1">
        <f t="array" ref="P48">IFERROR(INDEX('Cuisine Mapping'!$B$2:$B$71, MATCH(TRUE, ISNUMBER(SEARCH('Cuisine Mapping'!$A$2:$A$71,foodpanda_orders!$O48)),0)),"Others")</f>
        <v>Bengali/Desi</v>
      </c>
      <c r="Q48">
        <v>0</v>
      </c>
    </row>
    <row r="49" spans="1:17" x14ac:dyDescent="0.3">
      <c r="A49">
        <v>48</v>
      </c>
      <c r="B49" t="s">
        <v>811</v>
      </c>
      <c r="C49" s="2">
        <v>45987</v>
      </c>
      <c r="D49" s="3">
        <v>0.91180555555555554</v>
      </c>
      <c r="E49" s="1" t="s">
        <v>23</v>
      </c>
      <c r="F49" s="1" t="s">
        <v>525</v>
      </c>
      <c r="G49" s="1">
        <v>2025</v>
      </c>
      <c r="H49" t="s">
        <v>18</v>
      </c>
      <c r="I49" t="s">
        <v>140</v>
      </c>
      <c r="J49" s="4">
        <v>1669</v>
      </c>
      <c r="K49" t="s">
        <v>141</v>
      </c>
      <c r="L49" t="s">
        <v>142</v>
      </c>
      <c r="M49" t="s">
        <v>143</v>
      </c>
      <c r="N49" cm="1">
        <f t="array" ref="N49">SUMPRODUCT(--(TRIM(K49:M49)&lt;&gt;"-")*(TRIM(K49:M49)&lt;&gt;"")*(ISTEXT(K49:M49)))</f>
        <v>3</v>
      </c>
      <c r="O49" t="s">
        <v>574</v>
      </c>
      <c r="P49" t="s">
        <v>737</v>
      </c>
      <c r="Q49">
        <v>0</v>
      </c>
    </row>
    <row r="50" spans="1:17" x14ac:dyDescent="0.3">
      <c r="A50">
        <v>49</v>
      </c>
      <c r="B50" t="s">
        <v>812</v>
      </c>
      <c r="C50" s="2">
        <v>45977</v>
      </c>
      <c r="D50" s="3">
        <v>0.94374999999999998</v>
      </c>
      <c r="E50" s="1" t="s">
        <v>17</v>
      </c>
      <c r="F50" s="1" t="s">
        <v>525</v>
      </c>
      <c r="G50" s="1">
        <v>2025</v>
      </c>
      <c r="H50" t="s">
        <v>18</v>
      </c>
      <c r="I50" t="s">
        <v>144</v>
      </c>
      <c r="J50">
        <v>658</v>
      </c>
      <c r="K50" t="s">
        <v>145</v>
      </c>
      <c r="L50" t="s">
        <v>146</v>
      </c>
      <c r="M50" t="s">
        <v>21</v>
      </c>
      <c r="N50" cm="1">
        <f t="array" ref="N50">SUMPRODUCT(--(TRIM(K50:M50)&lt;&gt;"-")*(TRIM(K50:M50)&lt;&gt;"")*(ISTEXT(K50:M50)))</f>
        <v>2</v>
      </c>
      <c r="O50" t="s">
        <v>575</v>
      </c>
      <c r="P50" t="str" cm="1">
        <f t="array" ref="P50">IFERROR(INDEX('Cuisine Mapping'!$B$2:$B$71, MATCH(TRUE, ISNUMBER(SEARCH('Cuisine Mapping'!$A$2:$A$71,foodpanda_orders!$O50)),0)),"Others")</f>
        <v>Rice Bowls</v>
      </c>
      <c r="Q50">
        <v>0</v>
      </c>
    </row>
    <row r="51" spans="1:17" x14ac:dyDescent="0.3">
      <c r="A51">
        <v>50</v>
      </c>
      <c r="B51" t="s">
        <v>813</v>
      </c>
      <c r="C51" s="2">
        <v>45969</v>
      </c>
      <c r="D51" s="3">
        <v>0.8520833333333333</v>
      </c>
      <c r="E51" s="1" t="s">
        <v>51</v>
      </c>
      <c r="F51" s="1" t="s">
        <v>525</v>
      </c>
      <c r="G51" s="1">
        <v>2025</v>
      </c>
      <c r="H51" t="s">
        <v>18</v>
      </c>
      <c r="I51" t="s">
        <v>147</v>
      </c>
      <c r="J51">
        <v>578</v>
      </c>
      <c r="K51" t="s">
        <v>148</v>
      </c>
      <c r="L51" t="s">
        <v>149</v>
      </c>
      <c r="M51" t="s">
        <v>21</v>
      </c>
      <c r="N51" cm="1">
        <f t="array" ref="N51">SUMPRODUCT(--(TRIM(K51:M51)&lt;&gt;"-")*(TRIM(K51:M51)&lt;&gt;"")*(ISTEXT(K51:M51)))</f>
        <v>2</v>
      </c>
      <c r="O51" t="s">
        <v>576</v>
      </c>
      <c r="P51" t="str" cm="1">
        <f t="array" ref="P51">IFERROR(INDEX('Cuisine Mapping'!$B$2:$B$71, MATCH(TRUE, ISNUMBER(SEARCH('Cuisine Mapping'!$A$2:$A$71,foodpanda_orders!$O51)),0)),"Others")</f>
        <v>American/Fast Food</v>
      </c>
      <c r="Q51">
        <v>0</v>
      </c>
    </row>
    <row r="52" spans="1:17" x14ac:dyDescent="0.3">
      <c r="A52">
        <v>51</v>
      </c>
      <c r="B52" t="s">
        <v>814</v>
      </c>
      <c r="C52" s="2">
        <v>45964</v>
      </c>
      <c r="D52" s="3">
        <v>0.93055555555555558</v>
      </c>
      <c r="E52" s="1" t="s">
        <v>36</v>
      </c>
      <c r="F52" s="1" t="s">
        <v>525</v>
      </c>
      <c r="G52" s="1">
        <v>2025</v>
      </c>
      <c r="H52" t="s">
        <v>18</v>
      </c>
      <c r="I52" t="s">
        <v>150</v>
      </c>
      <c r="J52">
        <v>558</v>
      </c>
      <c r="K52" t="s">
        <v>151</v>
      </c>
      <c r="L52" t="s">
        <v>21</v>
      </c>
      <c r="M52" t="s">
        <v>21</v>
      </c>
      <c r="N52" cm="1">
        <f t="array" ref="N52">SUMPRODUCT(--(TRIM(K52:M52)&lt;&gt;"-")*(TRIM(K52:M52)&lt;&gt;"")*(ISTEXT(K52:M52)))</f>
        <v>1</v>
      </c>
      <c r="O52" t="s">
        <v>577</v>
      </c>
      <c r="P52" t="str" cm="1">
        <f t="array" ref="P52">IFERROR(INDEX('Cuisine Mapping'!$B$2:$B$71, MATCH(TRUE, ISNUMBER(SEARCH('Cuisine Mapping'!$A$2:$A$71,foodpanda_orders!$O52)),0)),"Others")</f>
        <v>American/Fast Food</v>
      </c>
      <c r="Q52">
        <v>0</v>
      </c>
    </row>
    <row r="53" spans="1:17" x14ac:dyDescent="0.3">
      <c r="A53">
        <v>52</v>
      </c>
      <c r="B53" t="s">
        <v>815</v>
      </c>
      <c r="C53" s="2">
        <v>45961</v>
      </c>
      <c r="D53" s="3">
        <v>0.92986111111111114</v>
      </c>
      <c r="E53" s="1" t="s">
        <v>31</v>
      </c>
      <c r="F53" s="1" t="s">
        <v>526</v>
      </c>
      <c r="G53" s="1">
        <v>2025</v>
      </c>
      <c r="H53" t="s">
        <v>18</v>
      </c>
      <c r="I53" t="s">
        <v>152</v>
      </c>
      <c r="J53" s="4">
        <v>1187</v>
      </c>
      <c r="K53" t="s">
        <v>153</v>
      </c>
      <c r="L53" t="s">
        <v>154</v>
      </c>
      <c r="M53" t="s">
        <v>21</v>
      </c>
      <c r="N53" cm="1">
        <f t="array" ref="N53">SUMPRODUCT(--(TRIM(K53:M53)&lt;&gt;"-")*(TRIM(K53:M53)&lt;&gt;"")*(ISTEXT(K53:M53)))</f>
        <v>2</v>
      </c>
      <c r="O53" t="s">
        <v>578</v>
      </c>
      <c r="P53" t="str" cm="1">
        <f t="array" ref="P53">IFERROR(INDEX('Cuisine Mapping'!$B$2:$B$71, MATCH(TRUE, ISNUMBER(SEARCH('Cuisine Mapping'!$A$2:$A$71,foodpanda_orders!$O53)),0)),"Others")</f>
        <v>Italian/Pizza</v>
      </c>
      <c r="Q53">
        <v>0</v>
      </c>
    </row>
    <row r="54" spans="1:17" x14ac:dyDescent="0.3">
      <c r="A54">
        <v>53</v>
      </c>
      <c r="B54" t="s">
        <v>784</v>
      </c>
      <c r="C54" s="2">
        <v>45959</v>
      </c>
      <c r="D54" s="3">
        <v>0.55555555555555558</v>
      </c>
      <c r="E54" s="1" t="s">
        <v>23</v>
      </c>
      <c r="F54" s="1" t="s">
        <v>526</v>
      </c>
      <c r="G54" s="1">
        <v>2025</v>
      </c>
      <c r="H54" t="s">
        <v>18</v>
      </c>
      <c r="I54" t="s">
        <v>155</v>
      </c>
      <c r="J54">
        <v>493</v>
      </c>
      <c r="K54" t="s">
        <v>156</v>
      </c>
      <c r="L54" t="s">
        <v>157</v>
      </c>
      <c r="M54" t="s">
        <v>21</v>
      </c>
      <c r="N54" cm="1">
        <f t="array" ref="N54">SUMPRODUCT(--(TRIM(K54:M54)&lt;&gt;"-")*(TRIM(K54:M54)&lt;&gt;"")*(ISTEXT(K54:M54)))</f>
        <v>2</v>
      </c>
      <c r="O54" t="s">
        <v>579</v>
      </c>
      <c r="P54" t="str" cm="1">
        <f t="array" ref="P54">IFERROR(INDEX('Cuisine Mapping'!$B$2:$B$71, MATCH(TRUE, ISNUMBER(SEARCH('Cuisine Mapping'!$A$2:$A$71,foodpanda_orders!$O54)),0)),"Others")</f>
        <v>Beverages</v>
      </c>
      <c r="Q54">
        <v>0</v>
      </c>
    </row>
    <row r="55" spans="1:17" x14ac:dyDescent="0.3">
      <c r="A55">
        <v>54</v>
      </c>
      <c r="B55" t="s">
        <v>804</v>
      </c>
      <c r="C55" s="2">
        <v>45956</v>
      </c>
      <c r="D55" s="3">
        <v>0.87916666666666665</v>
      </c>
      <c r="E55" s="1" t="s">
        <v>17</v>
      </c>
      <c r="F55" s="1" t="s">
        <v>526</v>
      </c>
      <c r="G55" s="1">
        <v>2025</v>
      </c>
      <c r="H55" t="s">
        <v>18</v>
      </c>
      <c r="I55" t="s">
        <v>158</v>
      </c>
      <c r="J55">
        <v>578</v>
      </c>
      <c r="K55" t="s">
        <v>159</v>
      </c>
      <c r="L55" t="s">
        <v>21</v>
      </c>
      <c r="M55" t="s">
        <v>21</v>
      </c>
      <c r="N55" cm="1">
        <f t="array" ref="N55">SUMPRODUCT(--(TRIM(K55:M55)&lt;&gt;"-")*(TRIM(K55:M55)&lt;&gt;"")*(ISTEXT(K55:M55)))</f>
        <v>1</v>
      </c>
      <c r="O55" t="s">
        <v>580</v>
      </c>
      <c r="P55" t="str" cm="1">
        <f t="array" ref="P55">IFERROR(INDEX('Cuisine Mapping'!$B$2:$B$71, MATCH(TRUE, ISNUMBER(SEARCH('Cuisine Mapping'!$A$2:$A$71,foodpanda_orders!$O55)),0)),"Others")</f>
        <v>American/Fast Food</v>
      </c>
      <c r="Q55">
        <v>0</v>
      </c>
    </row>
    <row r="56" spans="1:17" x14ac:dyDescent="0.3">
      <c r="A56">
        <v>55</v>
      </c>
      <c r="B56" t="s">
        <v>802</v>
      </c>
      <c r="C56" s="2">
        <v>45950</v>
      </c>
      <c r="D56" s="3">
        <v>0.65972222222222221</v>
      </c>
      <c r="E56" s="1" t="s">
        <v>36</v>
      </c>
      <c r="F56" s="1" t="s">
        <v>526</v>
      </c>
      <c r="G56" s="1">
        <v>2025</v>
      </c>
      <c r="H56" t="s">
        <v>13</v>
      </c>
      <c r="I56" t="s">
        <v>160</v>
      </c>
      <c r="J56">
        <v>306</v>
      </c>
      <c r="K56" t="s">
        <v>161</v>
      </c>
      <c r="L56" t="s">
        <v>21</v>
      </c>
      <c r="M56" t="s">
        <v>21</v>
      </c>
      <c r="N56" cm="1">
        <f t="array" ref="N56">SUMPRODUCT(--(TRIM(K56:M56)&lt;&gt;"-")*(TRIM(K56:M56)&lt;&gt;"")*(ISTEXT(K56:M56)))</f>
        <v>1</v>
      </c>
      <c r="O56" t="s">
        <v>581</v>
      </c>
      <c r="P56" t="str" cm="1">
        <f t="array" ref="P56">IFERROR(INDEX('Cuisine Mapping'!$B$2:$B$71, MATCH(TRUE, ISNUMBER(SEARCH('Cuisine Mapping'!$A$2:$A$71,foodpanda_orders!$O56)),0)),"Others")</f>
        <v>Middle Eastern</v>
      </c>
      <c r="Q56">
        <v>0</v>
      </c>
    </row>
    <row r="57" spans="1:17" x14ac:dyDescent="0.3">
      <c r="A57">
        <v>56</v>
      </c>
      <c r="B57" t="s">
        <v>816</v>
      </c>
      <c r="C57" s="2">
        <v>45950</v>
      </c>
      <c r="D57" s="3">
        <v>0.64652777777777781</v>
      </c>
      <c r="E57" s="1" t="s">
        <v>36</v>
      </c>
      <c r="F57" s="1" t="s">
        <v>526</v>
      </c>
      <c r="G57" s="1">
        <v>2025</v>
      </c>
      <c r="H57" t="s">
        <v>22</v>
      </c>
      <c r="I57" t="s">
        <v>162</v>
      </c>
      <c r="J57">
        <v>293</v>
      </c>
      <c r="K57" t="s">
        <v>163</v>
      </c>
      <c r="L57" t="s">
        <v>163</v>
      </c>
      <c r="M57" t="s">
        <v>21</v>
      </c>
      <c r="N57" cm="1">
        <f t="array" ref="N57">SUMPRODUCT(--(TRIM(K57:M57)&lt;&gt;"-")*(TRIM(K57:M57)&lt;&gt;"")*(ISTEXT(K57:M57)))</f>
        <v>2</v>
      </c>
      <c r="O57" t="s">
        <v>582</v>
      </c>
      <c r="P57" t="str" cm="1">
        <f t="array" ref="P57">IFERROR(INDEX('Cuisine Mapping'!$B$2:$B$71, MATCH(TRUE, ISNUMBER(SEARCH('Cuisine Mapping'!$A$2:$A$71,foodpanda_orders!$O57)),0)),"Others")</f>
        <v>American/Fast Food</v>
      </c>
      <c r="Q57">
        <v>0</v>
      </c>
    </row>
    <row r="58" spans="1:17" x14ac:dyDescent="0.3">
      <c r="A58">
        <v>57</v>
      </c>
      <c r="B58" t="s">
        <v>813</v>
      </c>
      <c r="C58" s="2">
        <v>45948</v>
      </c>
      <c r="D58" s="3">
        <v>0.96250000000000002</v>
      </c>
      <c r="E58" s="1" t="s">
        <v>51</v>
      </c>
      <c r="F58" s="1" t="s">
        <v>526</v>
      </c>
      <c r="G58" s="1">
        <v>2025</v>
      </c>
      <c r="H58" t="s">
        <v>18</v>
      </c>
      <c r="I58" t="s">
        <v>164</v>
      </c>
      <c r="J58">
        <v>381</v>
      </c>
      <c r="K58" t="s">
        <v>165</v>
      </c>
      <c r="L58" t="s">
        <v>166</v>
      </c>
      <c r="M58" t="s">
        <v>21</v>
      </c>
      <c r="N58" cm="1">
        <f t="array" ref="N58">SUMPRODUCT(--(TRIM(K58:M58)&lt;&gt;"-")*(TRIM(K58:M58)&lt;&gt;"")*(ISTEXT(K58:M58)))</f>
        <v>2</v>
      </c>
      <c r="O58" t="s">
        <v>583</v>
      </c>
      <c r="P58" t="str" cm="1">
        <f t="array" ref="P58">IFERROR(INDEX('Cuisine Mapping'!$B$2:$B$71, MATCH(TRUE, ISNUMBER(SEARCH('Cuisine Mapping'!$A$2:$A$71,foodpanda_orders!$O58)),0)),"Others")</f>
        <v>American/Fast Food</v>
      </c>
      <c r="Q58">
        <v>0</v>
      </c>
    </row>
    <row r="59" spans="1:17" x14ac:dyDescent="0.3">
      <c r="A59">
        <v>58</v>
      </c>
      <c r="B59" t="s">
        <v>814</v>
      </c>
      <c r="C59" s="2">
        <v>45945</v>
      </c>
      <c r="D59" s="3">
        <v>0.99375000000000002</v>
      </c>
      <c r="E59" s="1" t="s">
        <v>23</v>
      </c>
      <c r="F59" s="1" t="s">
        <v>526</v>
      </c>
      <c r="G59" s="1">
        <v>2025</v>
      </c>
      <c r="H59" t="s">
        <v>18</v>
      </c>
      <c r="I59" t="s">
        <v>167</v>
      </c>
      <c r="J59">
        <v>304</v>
      </c>
      <c r="K59" t="s">
        <v>168</v>
      </c>
      <c r="L59" t="s">
        <v>21</v>
      </c>
      <c r="M59" t="s">
        <v>21</v>
      </c>
      <c r="N59" cm="1">
        <f t="array" ref="N59">SUMPRODUCT(--(TRIM(K59:M59)&lt;&gt;"-")*(TRIM(K59:M59)&lt;&gt;"")*(ISTEXT(K59:M59)))</f>
        <v>1</v>
      </c>
      <c r="O59" t="s">
        <v>577</v>
      </c>
      <c r="P59" t="str" cm="1">
        <f t="array" ref="P59">IFERROR(INDEX('Cuisine Mapping'!$B$2:$B$71, MATCH(TRUE, ISNUMBER(SEARCH('Cuisine Mapping'!$A$2:$A$71,foodpanda_orders!$O59)),0)),"Others")</f>
        <v>American/Fast Food</v>
      </c>
      <c r="Q59">
        <v>0</v>
      </c>
    </row>
    <row r="60" spans="1:17" x14ac:dyDescent="0.3">
      <c r="A60">
        <v>59</v>
      </c>
      <c r="B60" t="s">
        <v>817</v>
      </c>
      <c r="C60" s="2">
        <v>45937</v>
      </c>
      <c r="D60" s="3">
        <v>0.90902777777777777</v>
      </c>
      <c r="E60" s="1" t="s">
        <v>12</v>
      </c>
      <c r="F60" s="1" t="s">
        <v>526</v>
      </c>
      <c r="G60" s="1">
        <v>2025</v>
      </c>
      <c r="H60" t="s">
        <v>18</v>
      </c>
      <c r="I60" t="s">
        <v>169</v>
      </c>
      <c r="J60">
        <v>322</v>
      </c>
      <c r="K60" t="s">
        <v>170</v>
      </c>
      <c r="L60" t="s">
        <v>21</v>
      </c>
      <c r="M60" t="s">
        <v>21</v>
      </c>
      <c r="N60" cm="1">
        <f t="array" ref="N60">SUMPRODUCT(--(TRIM(K60:M60)&lt;&gt;"-")*(TRIM(K60:M60)&lt;&gt;"")*(ISTEXT(K60:M60)))</f>
        <v>1</v>
      </c>
      <c r="O60" t="s">
        <v>584</v>
      </c>
      <c r="P60" t="str" cm="1">
        <f t="array" ref="P60">IFERROR(INDEX('Cuisine Mapping'!$B$2:$B$71, MATCH(TRUE, ISNUMBER(SEARCH('Cuisine Mapping'!$A$2:$A$71,foodpanda_orders!$O60)),0)),"Others")</f>
        <v>Dessert/Bakery</v>
      </c>
      <c r="Q60">
        <v>0</v>
      </c>
    </row>
    <row r="61" spans="1:17" x14ac:dyDescent="0.3">
      <c r="A61">
        <v>60</v>
      </c>
      <c r="B61" t="s">
        <v>784</v>
      </c>
      <c r="C61" s="2">
        <v>45937</v>
      </c>
      <c r="D61" s="3">
        <v>0.90277777777777779</v>
      </c>
      <c r="E61" s="1" t="s">
        <v>12</v>
      </c>
      <c r="F61" s="1" t="s">
        <v>526</v>
      </c>
      <c r="G61" s="1">
        <v>2025</v>
      </c>
      <c r="H61" t="s">
        <v>18</v>
      </c>
      <c r="I61" t="s">
        <v>171</v>
      </c>
      <c r="J61">
        <v>616</v>
      </c>
      <c r="K61" t="s">
        <v>172</v>
      </c>
      <c r="L61" t="s">
        <v>21</v>
      </c>
      <c r="M61" t="s">
        <v>21</v>
      </c>
      <c r="N61" cm="1">
        <f t="array" ref="N61">SUMPRODUCT(--(TRIM(K61:M61)&lt;&gt;"-")*(TRIM(K61:M61)&lt;&gt;"")*(ISTEXT(K61:M61)))</f>
        <v>1</v>
      </c>
      <c r="O61" t="s">
        <v>585</v>
      </c>
      <c r="P61" t="str" cm="1">
        <f t="array" ref="P61">IFERROR(INDEX('Cuisine Mapping'!$B$2:$B$71, MATCH(TRUE, ISNUMBER(SEARCH('Cuisine Mapping'!$A$2:$A$71,foodpanda_orders!$O61)),0)),"Others")</f>
        <v>East Asian</v>
      </c>
      <c r="Q61">
        <v>0</v>
      </c>
    </row>
    <row r="62" spans="1:17" x14ac:dyDescent="0.3">
      <c r="A62">
        <v>61</v>
      </c>
      <c r="B62" t="s">
        <v>818</v>
      </c>
      <c r="C62" s="2">
        <v>45929</v>
      </c>
      <c r="D62" s="3">
        <v>0.95138888888888884</v>
      </c>
      <c r="E62" s="1" t="s">
        <v>36</v>
      </c>
      <c r="F62" s="1" t="s">
        <v>527</v>
      </c>
      <c r="G62" s="1">
        <v>2025</v>
      </c>
      <c r="H62" t="s">
        <v>18</v>
      </c>
      <c r="I62" t="s">
        <v>173</v>
      </c>
      <c r="J62">
        <v>759</v>
      </c>
      <c r="K62" t="s">
        <v>174</v>
      </c>
      <c r="L62" t="s">
        <v>175</v>
      </c>
      <c r="M62" t="s">
        <v>176</v>
      </c>
      <c r="N62" cm="1">
        <f t="array" ref="N62">SUMPRODUCT(--(TRIM(K62:M62)&lt;&gt;"-")*(TRIM(K62:M62)&lt;&gt;"")*(ISTEXT(K62:M62)))</f>
        <v>3</v>
      </c>
      <c r="O62" t="s">
        <v>586</v>
      </c>
      <c r="P62" t="str" cm="1">
        <f t="array" ref="P62">IFERROR(INDEX('Cuisine Mapping'!$B$2:$B$71, MATCH(TRUE, ISNUMBER(SEARCH('Cuisine Mapping'!$A$2:$A$71,foodpanda_orders!$O62)),0)),"Others")</f>
        <v>American/Fast Food</v>
      </c>
      <c r="Q62">
        <v>0</v>
      </c>
    </row>
    <row r="63" spans="1:17" x14ac:dyDescent="0.3">
      <c r="A63">
        <v>62</v>
      </c>
      <c r="B63" t="s">
        <v>817</v>
      </c>
      <c r="C63" s="2">
        <v>45929</v>
      </c>
      <c r="D63" s="3">
        <v>0.93194444444444446</v>
      </c>
      <c r="E63" s="1" t="s">
        <v>36</v>
      </c>
      <c r="F63" s="1" t="s">
        <v>527</v>
      </c>
      <c r="G63" s="1">
        <v>2025</v>
      </c>
      <c r="H63" t="s">
        <v>18</v>
      </c>
      <c r="I63" t="s">
        <v>177</v>
      </c>
      <c r="J63">
        <v>331</v>
      </c>
      <c r="K63" t="s">
        <v>170</v>
      </c>
      <c r="L63" t="s">
        <v>21</v>
      </c>
      <c r="M63" t="s">
        <v>21</v>
      </c>
      <c r="N63" cm="1">
        <f t="array" ref="N63">SUMPRODUCT(--(TRIM(K63:M63)&lt;&gt;"-")*(TRIM(K63:M63)&lt;&gt;"")*(ISTEXT(K63:M63)))</f>
        <v>1</v>
      </c>
      <c r="O63" t="s">
        <v>584</v>
      </c>
      <c r="P63" t="str" cm="1">
        <f t="array" ref="P63">IFERROR(INDEX('Cuisine Mapping'!$B$2:$B$71, MATCH(TRUE, ISNUMBER(SEARCH('Cuisine Mapping'!$A$2:$A$71,foodpanda_orders!$O63)),0)),"Others")</f>
        <v>Dessert/Bakery</v>
      </c>
      <c r="Q63">
        <v>0</v>
      </c>
    </row>
    <row r="64" spans="1:17" x14ac:dyDescent="0.3">
      <c r="A64">
        <v>63</v>
      </c>
      <c r="B64" t="s">
        <v>819</v>
      </c>
      <c r="C64" s="2">
        <v>45920</v>
      </c>
      <c r="D64" s="3">
        <v>0.97013888888888888</v>
      </c>
      <c r="E64" s="1" t="s">
        <v>51</v>
      </c>
      <c r="F64" s="1" t="s">
        <v>527</v>
      </c>
      <c r="G64" s="1">
        <v>2025</v>
      </c>
      <c r="H64" t="s">
        <v>18</v>
      </c>
      <c r="I64" t="s">
        <v>178</v>
      </c>
      <c r="J64">
        <v>460</v>
      </c>
      <c r="K64" t="s">
        <v>179</v>
      </c>
      <c r="L64" t="s">
        <v>180</v>
      </c>
      <c r="M64" t="s">
        <v>181</v>
      </c>
      <c r="N64" cm="1">
        <f t="array" ref="N64">SUMPRODUCT(--(TRIM(K64:M64)&lt;&gt;"-")*(TRIM(K64:M64)&lt;&gt;"")*(ISTEXT(K64:M64)))</f>
        <v>3</v>
      </c>
      <c r="O64" t="s">
        <v>587</v>
      </c>
      <c r="P64" t="str" cm="1">
        <f t="array" ref="P64">IFERROR(INDEX('Cuisine Mapping'!$B$2:$B$71, MATCH(TRUE, ISNUMBER(SEARCH('Cuisine Mapping'!$A$2:$A$71,foodpanda_orders!$O64)),0)),"Others")</f>
        <v>Kabab/Grill</v>
      </c>
      <c r="Q64">
        <v>0</v>
      </c>
    </row>
    <row r="65" spans="1:17" x14ac:dyDescent="0.3">
      <c r="A65">
        <v>64</v>
      </c>
      <c r="B65" t="s">
        <v>787</v>
      </c>
      <c r="C65" s="2">
        <v>45917</v>
      </c>
      <c r="D65" s="3">
        <v>0.96250000000000002</v>
      </c>
      <c r="E65" s="1" t="s">
        <v>23</v>
      </c>
      <c r="F65" s="1" t="s">
        <v>527</v>
      </c>
      <c r="G65" s="1">
        <v>2025</v>
      </c>
      <c r="H65" t="s">
        <v>18</v>
      </c>
      <c r="I65" t="s">
        <v>182</v>
      </c>
      <c r="J65">
        <v>328</v>
      </c>
      <c r="K65" t="s">
        <v>183</v>
      </c>
      <c r="L65" t="s">
        <v>21</v>
      </c>
      <c r="M65" t="s">
        <v>21</v>
      </c>
      <c r="N65" cm="1">
        <f t="array" ref="N65">SUMPRODUCT(--(TRIM(K65:M65)&lt;&gt;"-")*(TRIM(K65:M65)&lt;&gt;"")*(ISTEXT(K65:M65)))</f>
        <v>1</v>
      </c>
      <c r="O65" t="s">
        <v>588</v>
      </c>
      <c r="P65" t="str" cm="1">
        <f t="array" ref="P65">IFERROR(INDEX('Cuisine Mapping'!$B$2:$B$71, MATCH(TRUE, ISNUMBER(SEARCH('Cuisine Mapping'!$A$2:$A$71,foodpanda_orders!$O65)),0)),"Others")</f>
        <v>Middle Eastern</v>
      </c>
      <c r="Q65">
        <v>0</v>
      </c>
    </row>
    <row r="66" spans="1:17" x14ac:dyDescent="0.3">
      <c r="A66">
        <v>65</v>
      </c>
      <c r="B66" t="s">
        <v>781</v>
      </c>
      <c r="C66" s="2">
        <v>45909</v>
      </c>
      <c r="D66" s="3">
        <v>0.93611111111111112</v>
      </c>
      <c r="E66" s="1" t="s">
        <v>12</v>
      </c>
      <c r="F66" s="1" t="s">
        <v>527</v>
      </c>
      <c r="G66" s="1">
        <v>2025</v>
      </c>
      <c r="H66" t="s">
        <v>18</v>
      </c>
      <c r="I66" t="s">
        <v>184</v>
      </c>
      <c r="J66">
        <v>227</v>
      </c>
      <c r="K66" t="s">
        <v>35</v>
      </c>
      <c r="L66" t="s">
        <v>21</v>
      </c>
      <c r="M66" t="s">
        <v>21</v>
      </c>
      <c r="N66" cm="1">
        <f t="array" ref="N66">SUMPRODUCT(--(TRIM(K66:M66)&lt;&gt;"-")*(TRIM(K66:M66)&lt;&gt;"")*(ISTEXT(K66:M66)))</f>
        <v>1</v>
      </c>
      <c r="O66" t="s">
        <v>538</v>
      </c>
      <c r="P66" t="str" cm="1">
        <f t="array" ref="P66">IFERROR(INDEX('Cuisine Mapping'!$B$2:$B$71, MATCH(TRUE, ISNUMBER(SEARCH('Cuisine Mapping'!$A$2:$A$71,foodpanda_orders!$O66)),0)),"Others")</f>
        <v>Bengali/Desi</v>
      </c>
      <c r="Q66">
        <v>0</v>
      </c>
    </row>
    <row r="67" spans="1:17" x14ac:dyDescent="0.3">
      <c r="A67">
        <v>66</v>
      </c>
      <c r="B67" t="s">
        <v>820</v>
      </c>
      <c r="C67" s="2">
        <v>45906</v>
      </c>
      <c r="D67" s="3">
        <v>0.92500000000000004</v>
      </c>
      <c r="E67" s="1" t="s">
        <v>51</v>
      </c>
      <c r="F67" s="1" t="s">
        <v>527</v>
      </c>
      <c r="G67" s="1">
        <v>2025</v>
      </c>
      <c r="H67" t="s">
        <v>18</v>
      </c>
      <c r="I67" t="s">
        <v>185</v>
      </c>
      <c r="J67">
        <v>547</v>
      </c>
      <c r="K67" t="s">
        <v>186</v>
      </c>
      <c r="L67" t="s">
        <v>21</v>
      </c>
      <c r="M67" t="s">
        <v>21</v>
      </c>
      <c r="N67" cm="1">
        <f t="array" ref="N67">SUMPRODUCT(--(TRIM(K67:M67)&lt;&gt;"-")*(TRIM(K67:M67)&lt;&gt;"")*(ISTEXT(K67:M67)))</f>
        <v>1</v>
      </c>
      <c r="O67" t="s">
        <v>589</v>
      </c>
      <c r="P67" t="s">
        <v>699</v>
      </c>
      <c r="Q67">
        <v>0</v>
      </c>
    </row>
    <row r="68" spans="1:17" x14ac:dyDescent="0.3">
      <c r="A68">
        <v>67</v>
      </c>
      <c r="B68" t="s">
        <v>816</v>
      </c>
      <c r="C68" s="2">
        <v>45900</v>
      </c>
      <c r="D68" s="3">
        <v>0.69236111111111109</v>
      </c>
      <c r="E68" s="1" t="s">
        <v>17</v>
      </c>
      <c r="F68" s="1" t="s">
        <v>528</v>
      </c>
      <c r="G68" s="1">
        <v>2025</v>
      </c>
      <c r="H68" t="s">
        <v>13</v>
      </c>
      <c r="I68" t="s">
        <v>187</v>
      </c>
      <c r="J68">
        <v>293</v>
      </c>
      <c r="K68" t="s">
        <v>188</v>
      </c>
      <c r="L68" t="s">
        <v>21</v>
      </c>
      <c r="M68" t="s">
        <v>21</v>
      </c>
      <c r="N68" cm="1">
        <f t="array" ref="N68">SUMPRODUCT(--(TRIM(K68:M68)&lt;&gt;"-")*(TRIM(K68:M68)&lt;&gt;"")*(ISTEXT(K68:M68)))</f>
        <v>1</v>
      </c>
      <c r="O68" t="s">
        <v>590</v>
      </c>
      <c r="P68" t="str" cm="1">
        <f t="array" ref="P68">IFERROR(INDEX('Cuisine Mapping'!$B$2:$B$71, MATCH(TRUE, ISNUMBER(SEARCH('Cuisine Mapping'!$A$2:$A$71,foodpanda_orders!$O68)),0)),"Others")</f>
        <v>American/Fast Food</v>
      </c>
      <c r="Q68">
        <v>0</v>
      </c>
    </row>
    <row r="69" spans="1:17" x14ac:dyDescent="0.3">
      <c r="A69">
        <v>68</v>
      </c>
      <c r="B69" t="s">
        <v>821</v>
      </c>
      <c r="C69" s="2">
        <v>45899</v>
      </c>
      <c r="D69" s="3">
        <v>6.2500000000000003E-3</v>
      </c>
      <c r="E69" s="1" t="s">
        <v>51</v>
      </c>
      <c r="F69" s="1" t="s">
        <v>528</v>
      </c>
      <c r="G69" s="1">
        <v>2025</v>
      </c>
      <c r="H69" t="s">
        <v>18</v>
      </c>
      <c r="I69" t="s">
        <v>189</v>
      </c>
      <c r="J69">
        <v>334</v>
      </c>
      <c r="K69" t="s">
        <v>190</v>
      </c>
      <c r="L69" t="s">
        <v>21</v>
      </c>
      <c r="M69" t="s">
        <v>21</v>
      </c>
      <c r="N69" cm="1">
        <f t="array" ref="N69">SUMPRODUCT(--(TRIM(K69:M69)&lt;&gt;"-")*(TRIM(K69:M69)&lt;&gt;"")*(ISTEXT(K69:M69)))</f>
        <v>1</v>
      </c>
      <c r="O69" t="s">
        <v>591</v>
      </c>
      <c r="P69" t="str" cm="1">
        <f t="array" ref="P69">IFERROR(INDEX('Cuisine Mapping'!$B$2:$B$71, MATCH(TRUE, ISNUMBER(SEARCH('Cuisine Mapping'!$A$2:$A$71,foodpanda_orders!$O69)),0)),"Others")</f>
        <v>Bengali/Desi</v>
      </c>
      <c r="Q69">
        <v>0</v>
      </c>
    </row>
    <row r="70" spans="1:17" x14ac:dyDescent="0.3">
      <c r="A70">
        <v>69</v>
      </c>
      <c r="B70" t="s">
        <v>822</v>
      </c>
      <c r="C70" s="2">
        <v>45892</v>
      </c>
      <c r="D70" s="3">
        <v>0.92500000000000004</v>
      </c>
      <c r="E70" s="1" t="s">
        <v>51</v>
      </c>
      <c r="F70" s="1" t="s">
        <v>528</v>
      </c>
      <c r="G70" s="1">
        <v>2025</v>
      </c>
      <c r="H70" t="s">
        <v>18</v>
      </c>
      <c r="I70" t="s">
        <v>191</v>
      </c>
      <c r="J70">
        <v>703</v>
      </c>
      <c r="K70" t="s">
        <v>192</v>
      </c>
      <c r="L70" t="s">
        <v>193</v>
      </c>
      <c r="M70" t="s">
        <v>21</v>
      </c>
      <c r="N70" cm="1">
        <f t="array" ref="N70">SUMPRODUCT(--(TRIM(K70:M70)&lt;&gt;"-")*(TRIM(K70:M70)&lt;&gt;"")*(ISTEXT(K70:M70)))</f>
        <v>2</v>
      </c>
      <c r="O70" t="s">
        <v>592</v>
      </c>
      <c r="P70" t="str" cm="1">
        <f t="array" ref="P70">IFERROR(INDEX('Cuisine Mapping'!$B$2:$B$71, MATCH(TRUE, ISNUMBER(SEARCH('Cuisine Mapping'!$A$2:$A$71,foodpanda_orders!$O70)),0)),"Others")</f>
        <v>Italian/Pizza</v>
      </c>
      <c r="Q70">
        <v>0</v>
      </c>
    </row>
    <row r="71" spans="1:17" x14ac:dyDescent="0.3">
      <c r="A71">
        <v>70</v>
      </c>
      <c r="B71" t="s">
        <v>823</v>
      </c>
      <c r="C71" s="2">
        <v>45887</v>
      </c>
      <c r="D71" s="3">
        <v>0.89236111111111116</v>
      </c>
      <c r="E71" s="1" t="s">
        <v>36</v>
      </c>
      <c r="F71" s="1" t="s">
        <v>528</v>
      </c>
      <c r="G71" s="1">
        <v>2025</v>
      </c>
      <c r="H71" t="s">
        <v>18</v>
      </c>
      <c r="I71" t="s">
        <v>194</v>
      </c>
      <c r="J71">
        <v>638</v>
      </c>
      <c r="K71" t="s">
        <v>195</v>
      </c>
      <c r="L71" t="s">
        <v>196</v>
      </c>
      <c r="M71" t="s">
        <v>21</v>
      </c>
      <c r="N71" cm="1">
        <f t="array" ref="N71">SUMPRODUCT(--(TRIM(K71:M71)&lt;&gt;"-")*(TRIM(K71:M71)&lt;&gt;"")*(ISTEXT(K71:M71)))</f>
        <v>2</v>
      </c>
      <c r="O71" t="s">
        <v>593</v>
      </c>
      <c r="P71" t="str" cm="1">
        <f t="array" ref="P71">IFERROR(INDEX('Cuisine Mapping'!$B$2:$B$71, MATCH(TRUE, ISNUMBER(SEARCH('Cuisine Mapping'!$A$2:$A$71,foodpanda_orders!$O71)),0)),"Others")</f>
        <v>Italian/Pizza</v>
      </c>
      <c r="Q71">
        <v>0</v>
      </c>
    </row>
    <row r="72" spans="1:17" x14ac:dyDescent="0.3">
      <c r="A72">
        <v>71</v>
      </c>
      <c r="B72" t="s">
        <v>824</v>
      </c>
      <c r="C72" s="2">
        <v>45879</v>
      </c>
      <c r="D72" s="3">
        <v>0.65208333333333335</v>
      </c>
      <c r="E72" s="1" t="s">
        <v>17</v>
      </c>
      <c r="F72" s="1" t="s">
        <v>528</v>
      </c>
      <c r="G72" s="1">
        <v>2025</v>
      </c>
      <c r="H72" t="s">
        <v>13</v>
      </c>
      <c r="I72" t="s">
        <v>197</v>
      </c>
      <c r="J72">
        <v>342</v>
      </c>
      <c r="K72" t="s">
        <v>198</v>
      </c>
      <c r="L72" t="s">
        <v>21</v>
      </c>
      <c r="M72" t="s">
        <v>21</v>
      </c>
      <c r="N72" cm="1">
        <f t="array" ref="N72">SUMPRODUCT(--(TRIM(K72:M72)&lt;&gt;"-")*(TRIM(K72:M72)&lt;&gt;"")*(ISTEXT(K72:M72)))</f>
        <v>1</v>
      </c>
      <c r="O72" t="s">
        <v>594</v>
      </c>
      <c r="P72" t="str" cm="1">
        <f t="array" ref="P72">IFERROR(INDEX('Cuisine Mapping'!$B$2:$B$71, MATCH(TRUE, ISNUMBER(SEARCH('Cuisine Mapping'!$A$2:$A$71,foodpanda_orders!$O72)),0)),"Others")</f>
        <v>East Asian</v>
      </c>
      <c r="Q72">
        <v>0</v>
      </c>
    </row>
    <row r="73" spans="1:17" x14ac:dyDescent="0.3">
      <c r="A73">
        <v>72</v>
      </c>
      <c r="B73" t="s">
        <v>824</v>
      </c>
      <c r="C73" s="2">
        <v>45876</v>
      </c>
      <c r="D73" s="3">
        <v>0.63541666666666663</v>
      </c>
      <c r="E73" s="1" t="s">
        <v>46</v>
      </c>
      <c r="F73" s="1" t="s">
        <v>528</v>
      </c>
      <c r="G73" s="1">
        <v>2025</v>
      </c>
      <c r="H73" t="s">
        <v>13</v>
      </c>
      <c r="I73" t="s">
        <v>199</v>
      </c>
      <c r="J73">
        <v>171</v>
      </c>
      <c r="K73" t="s">
        <v>200</v>
      </c>
      <c r="L73" t="s">
        <v>21</v>
      </c>
      <c r="M73" t="s">
        <v>21</v>
      </c>
      <c r="N73" cm="1">
        <f t="array" ref="N73">SUMPRODUCT(--(TRIM(K73:M73)&lt;&gt;"-")*(TRIM(K73:M73)&lt;&gt;"")*(ISTEXT(K73:M73)))</f>
        <v>1</v>
      </c>
      <c r="O73" t="s">
        <v>594</v>
      </c>
      <c r="P73" t="str" cm="1">
        <f t="array" ref="P73">IFERROR(INDEX('Cuisine Mapping'!$B$2:$B$71, MATCH(TRUE, ISNUMBER(SEARCH('Cuisine Mapping'!$A$2:$A$71,foodpanda_orders!$O73)),0)),"Others")</f>
        <v>East Asian</v>
      </c>
      <c r="Q73">
        <v>0</v>
      </c>
    </row>
    <row r="74" spans="1:17" x14ac:dyDescent="0.3">
      <c r="A74">
        <v>73</v>
      </c>
      <c r="B74" t="s">
        <v>825</v>
      </c>
      <c r="C74" s="2">
        <v>45871</v>
      </c>
      <c r="D74" s="3">
        <v>0.93194444444444446</v>
      </c>
      <c r="E74" s="1" t="s">
        <v>51</v>
      </c>
      <c r="F74" s="1" t="s">
        <v>528</v>
      </c>
      <c r="G74" s="1">
        <v>2025</v>
      </c>
      <c r="H74" t="s">
        <v>18</v>
      </c>
      <c r="I74" t="s">
        <v>201</v>
      </c>
      <c r="J74">
        <v>573</v>
      </c>
      <c r="K74" t="s">
        <v>202</v>
      </c>
      <c r="L74" t="s">
        <v>203</v>
      </c>
      <c r="M74" t="s">
        <v>204</v>
      </c>
      <c r="N74" cm="1">
        <f t="array" ref="N74">SUMPRODUCT(--(TRIM(K74:M74)&lt;&gt;"-")*(TRIM(K74:M74)&lt;&gt;"")*(ISTEXT(K74:M74)))</f>
        <v>3</v>
      </c>
      <c r="O74" t="s">
        <v>595</v>
      </c>
      <c r="P74" t="str" cm="1">
        <f t="array" ref="P74">IFERROR(INDEX('Cuisine Mapping'!$B$2:$B$71, MATCH(TRUE, ISNUMBER(SEARCH('Cuisine Mapping'!$A$2:$A$71,foodpanda_orders!$O74)),0)),"Others")</f>
        <v>Seafood</v>
      </c>
      <c r="Q74">
        <v>0</v>
      </c>
    </row>
    <row r="75" spans="1:17" x14ac:dyDescent="0.3">
      <c r="A75">
        <v>74</v>
      </c>
      <c r="B75" t="s">
        <v>826</v>
      </c>
      <c r="C75" s="2">
        <v>45870</v>
      </c>
      <c r="D75" s="3">
        <v>0.89444444444444449</v>
      </c>
      <c r="E75" s="1" t="s">
        <v>31</v>
      </c>
      <c r="F75" s="1" t="s">
        <v>528</v>
      </c>
      <c r="G75" s="1">
        <v>2025</v>
      </c>
      <c r="H75" t="s">
        <v>18</v>
      </c>
      <c r="I75" t="s">
        <v>205</v>
      </c>
      <c r="J75">
        <v>628</v>
      </c>
      <c r="K75" t="s">
        <v>206</v>
      </c>
      <c r="L75" t="s">
        <v>207</v>
      </c>
      <c r="M75" t="s">
        <v>21</v>
      </c>
      <c r="N75" cm="1">
        <f t="array" ref="N75">SUMPRODUCT(--(TRIM(K75:M75)&lt;&gt;"-")*(TRIM(K75:M75)&lt;&gt;"")*(ISTEXT(K75:M75)))</f>
        <v>2</v>
      </c>
      <c r="O75" t="s">
        <v>596</v>
      </c>
      <c r="P75" t="str" cm="1">
        <f t="array" ref="P75">IFERROR(INDEX('Cuisine Mapping'!$B$2:$B$71, MATCH(TRUE, ISNUMBER(SEARCH('Cuisine Mapping'!$A$2:$A$71,foodpanda_orders!$O75)),0)),"Others")</f>
        <v>Bengali/Desi</v>
      </c>
      <c r="Q75">
        <v>0</v>
      </c>
    </row>
    <row r="76" spans="1:17" x14ac:dyDescent="0.3">
      <c r="A76">
        <v>75</v>
      </c>
      <c r="B76" t="s">
        <v>784</v>
      </c>
      <c r="C76" s="2">
        <v>45867</v>
      </c>
      <c r="D76" s="3">
        <v>0.85347222222222219</v>
      </c>
      <c r="E76" s="1" t="s">
        <v>12</v>
      </c>
      <c r="F76" s="1" t="s">
        <v>529</v>
      </c>
      <c r="G76" s="1">
        <v>2025</v>
      </c>
      <c r="H76" t="s">
        <v>18</v>
      </c>
      <c r="I76" t="s">
        <v>208</v>
      </c>
      <c r="J76">
        <v>672</v>
      </c>
      <c r="K76" t="s">
        <v>209</v>
      </c>
      <c r="L76" t="s">
        <v>210</v>
      </c>
      <c r="M76" t="s">
        <v>211</v>
      </c>
      <c r="N76" cm="1">
        <f t="array" ref="N76">SUMPRODUCT(--(TRIM(K76:M76)&lt;&gt;"-")*(TRIM(K76:M76)&lt;&gt;"")*(ISTEXT(K76:M76)))</f>
        <v>3</v>
      </c>
      <c r="O76" t="s">
        <v>597</v>
      </c>
      <c r="P76" t="str" cm="1">
        <f t="array" ref="P76">IFERROR(INDEX('Cuisine Mapping'!$B$2:$B$71, MATCH(TRUE, ISNUMBER(SEARCH('Cuisine Mapping'!$A$2:$A$71,foodpanda_orders!$O76)),0)),"Others")</f>
        <v>Others</v>
      </c>
      <c r="Q76">
        <v>0</v>
      </c>
    </row>
    <row r="77" spans="1:17" x14ac:dyDescent="0.3">
      <c r="A77">
        <v>76</v>
      </c>
      <c r="B77" t="s">
        <v>827</v>
      </c>
      <c r="C77" s="2">
        <v>45862</v>
      </c>
      <c r="D77" s="3">
        <v>0.60833333333333328</v>
      </c>
      <c r="E77" s="1" t="s">
        <v>46</v>
      </c>
      <c r="F77" s="1" t="s">
        <v>529</v>
      </c>
      <c r="G77" s="1">
        <v>2025</v>
      </c>
      <c r="H77" t="s">
        <v>18</v>
      </c>
      <c r="I77" t="s">
        <v>212</v>
      </c>
      <c r="J77">
        <v>206</v>
      </c>
      <c r="K77" t="s">
        <v>213</v>
      </c>
      <c r="L77" t="s">
        <v>21</v>
      </c>
      <c r="M77" t="s">
        <v>21</v>
      </c>
      <c r="N77" cm="1">
        <f t="array" ref="N77">SUMPRODUCT(--(TRIM(K77:M77)&lt;&gt;"-")*(TRIM(K77:M77)&lt;&gt;"")*(ISTEXT(K77:M77)))</f>
        <v>1</v>
      </c>
      <c r="O77" t="s">
        <v>598</v>
      </c>
      <c r="P77" t="str" cm="1">
        <f t="array" ref="P77">IFERROR(INDEX('Cuisine Mapping'!$B$2:$B$71, MATCH(TRUE, ISNUMBER(SEARCH('Cuisine Mapping'!$A$2:$A$71,foodpanda_orders!$O77)),0)),"Others")</f>
        <v>Bengali/Desi</v>
      </c>
      <c r="Q77">
        <v>0</v>
      </c>
    </row>
    <row r="78" spans="1:17" x14ac:dyDescent="0.3">
      <c r="A78">
        <v>77</v>
      </c>
      <c r="B78" t="s">
        <v>828</v>
      </c>
      <c r="C78" s="2">
        <v>45860</v>
      </c>
      <c r="D78" s="3">
        <v>0.58819444444444446</v>
      </c>
      <c r="E78" s="1" t="s">
        <v>12</v>
      </c>
      <c r="F78" s="1" t="s">
        <v>529</v>
      </c>
      <c r="G78" s="1">
        <v>2025</v>
      </c>
      <c r="H78" t="s">
        <v>18</v>
      </c>
      <c r="I78" t="s">
        <v>214</v>
      </c>
      <c r="J78">
        <v>490</v>
      </c>
      <c r="K78" t="s">
        <v>215</v>
      </c>
      <c r="L78" t="s">
        <v>216</v>
      </c>
      <c r="M78" t="s">
        <v>69</v>
      </c>
      <c r="N78" cm="1">
        <f t="array" ref="N78">SUMPRODUCT(--(TRIM(K78:M78)&lt;&gt;"-")*(TRIM(K78:M78)&lt;&gt;"")*(ISTEXT(K78:M78)))</f>
        <v>3</v>
      </c>
      <c r="O78" t="s">
        <v>599</v>
      </c>
      <c r="P78" t="s">
        <v>748</v>
      </c>
      <c r="Q78">
        <v>0</v>
      </c>
    </row>
    <row r="79" spans="1:17" x14ac:dyDescent="0.3">
      <c r="A79">
        <v>78</v>
      </c>
      <c r="B79" t="s">
        <v>826</v>
      </c>
      <c r="C79" s="2">
        <v>45858</v>
      </c>
      <c r="D79" s="3">
        <v>0.63263888888888886</v>
      </c>
      <c r="E79" s="1" t="s">
        <v>17</v>
      </c>
      <c r="F79" s="1" t="s">
        <v>529</v>
      </c>
      <c r="G79" s="1">
        <v>2025</v>
      </c>
      <c r="H79" t="s">
        <v>18</v>
      </c>
      <c r="I79" t="s">
        <v>217</v>
      </c>
      <c r="J79">
        <v>539</v>
      </c>
      <c r="K79" t="s">
        <v>218</v>
      </c>
      <c r="L79" t="s">
        <v>21</v>
      </c>
      <c r="M79" t="s">
        <v>21</v>
      </c>
      <c r="N79" cm="1">
        <f t="array" ref="N79">SUMPRODUCT(--(TRIM(K79:M79)&lt;&gt;"-")*(TRIM(K79:M79)&lt;&gt;"")*(ISTEXT(K79:M79)))</f>
        <v>1</v>
      </c>
      <c r="O79" t="s">
        <v>600</v>
      </c>
      <c r="P79" t="str" cm="1">
        <f t="array" ref="P79">IFERROR(INDEX('Cuisine Mapping'!$B$2:$B$71, MATCH(TRUE, ISNUMBER(SEARCH('Cuisine Mapping'!$A$2:$A$71,foodpanda_orders!$O79)),0)),"Others")</f>
        <v>Bengali/Desi</v>
      </c>
      <c r="Q79">
        <v>0</v>
      </c>
    </row>
    <row r="80" spans="1:17" x14ac:dyDescent="0.3">
      <c r="A80">
        <v>79</v>
      </c>
      <c r="B80" t="s">
        <v>824</v>
      </c>
      <c r="C80" s="2">
        <v>45855</v>
      </c>
      <c r="D80" s="3">
        <v>0.60833333333333328</v>
      </c>
      <c r="E80" s="1" t="s">
        <v>46</v>
      </c>
      <c r="F80" s="1" t="s">
        <v>529</v>
      </c>
      <c r="G80" s="1">
        <v>2025</v>
      </c>
      <c r="H80" t="s">
        <v>13</v>
      </c>
      <c r="I80" t="s">
        <v>219</v>
      </c>
      <c r="J80">
        <v>630</v>
      </c>
      <c r="K80" t="s">
        <v>220</v>
      </c>
      <c r="L80" t="s">
        <v>21</v>
      </c>
      <c r="M80" t="s">
        <v>21</v>
      </c>
      <c r="N80" cm="1">
        <f t="array" ref="N80">SUMPRODUCT(--(TRIM(K80:M80)&lt;&gt;"-")*(TRIM(K80:M80)&lt;&gt;"")*(ISTEXT(K80:M80)))</f>
        <v>1</v>
      </c>
      <c r="O80" t="s">
        <v>695</v>
      </c>
      <c r="P80" t="str" cm="1">
        <f t="array" ref="P80">IFERROR(INDEX('Cuisine Mapping'!$B$2:$B$71, MATCH(TRUE, ISNUMBER(SEARCH('Cuisine Mapping'!$A$2:$A$71,foodpanda_orders!$O80)),0)),"Others")</f>
        <v>East Asian</v>
      </c>
      <c r="Q80">
        <v>0</v>
      </c>
    </row>
    <row r="81" spans="1:17" x14ac:dyDescent="0.3">
      <c r="A81">
        <v>80</v>
      </c>
      <c r="B81" t="s">
        <v>784</v>
      </c>
      <c r="C81" s="2">
        <v>45846</v>
      </c>
      <c r="D81" s="3">
        <v>0.72013888888888888</v>
      </c>
      <c r="E81" s="1" t="s">
        <v>12</v>
      </c>
      <c r="F81" s="1" t="s">
        <v>529</v>
      </c>
      <c r="G81" s="1">
        <v>2025</v>
      </c>
      <c r="H81" t="s">
        <v>18</v>
      </c>
      <c r="I81" t="s">
        <v>221</v>
      </c>
      <c r="J81">
        <v>728</v>
      </c>
      <c r="K81" t="s">
        <v>222</v>
      </c>
      <c r="L81" t="s">
        <v>223</v>
      </c>
      <c r="M81" t="s">
        <v>224</v>
      </c>
      <c r="N81" cm="1">
        <f t="array" ref="N81">SUMPRODUCT(--(TRIM(K81:M81)&lt;&gt;"-")*(TRIM(K81:M81)&lt;&gt;"")*(ISTEXT(K81:M81)))</f>
        <v>3</v>
      </c>
      <c r="O81" t="s">
        <v>601</v>
      </c>
      <c r="P81" t="str" cm="1">
        <f t="array" ref="P81">IFERROR(INDEX('Cuisine Mapping'!$B$2:$B$71, MATCH(TRUE, ISNUMBER(SEARCH('Cuisine Mapping'!$A$2:$A$71,foodpanda_orders!$O81)),0)),"Others")</f>
        <v>Bengali/Desi</v>
      </c>
      <c r="Q81">
        <v>0</v>
      </c>
    </row>
    <row r="82" spans="1:17" x14ac:dyDescent="0.3">
      <c r="A82">
        <v>81</v>
      </c>
      <c r="B82" t="s">
        <v>784</v>
      </c>
      <c r="C82" s="2">
        <v>45843</v>
      </c>
      <c r="D82" s="3">
        <v>0.8666666666666667</v>
      </c>
      <c r="E82" s="1" t="s">
        <v>51</v>
      </c>
      <c r="F82" s="1" t="s">
        <v>529</v>
      </c>
      <c r="G82" s="1">
        <v>2025</v>
      </c>
      <c r="H82" t="s">
        <v>18</v>
      </c>
      <c r="I82" t="s">
        <v>225</v>
      </c>
      <c r="J82">
        <v>364</v>
      </c>
      <c r="K82" t="s">
        <v>226</v>
      </c>
      <c r="L82" t="s">
        <v>21</v>
      </c>
      <c r="M82" t="s">
        <v>21</v>
      </c>
      <c r="N82" cm="1">
        <f t="array" ref="N82">SUMPRODUCT(--(TRIM(K82:M82)&lt;&gt;"-")*(TRIM(K82:M82)&lt;&gt;"")*(ISTEXT(K82:M82)))</f>
        <v>1</v>
      </c>
      <c r="O82" t="s">
        <v>602</v>
      </c>
      <c r="P82" t="s">
        <v>748</v>
      </c>
      <c r="Q82">
        <v>0</v>
      </c>
    </row>
    <row r="83" spans="1:17" x14ac:dyDescent="0.3">
      <c r="A83">
        <v>82</v>
      </c>
      <c r="B83" t="s">
        <v>781</v>
      </c>
      <c r="C83" s="2">
        <v>45843</v>
      </c>
      <c r="D83" s="3">
        <v>0.62152777777777779</v>
      </c>
      <c r="E83" s="1" t="s">
        <v>51</v>
      </c>
      <c r="F83" s="1" t="s">
        <v>529</v>
      </c>
      <c r="G83" s="1">
        <v>2025</v>
      </c>
      <c r="H83" t="s">
        <v>18</v>
      </c>
      <c r="I83" t="s">
        <v>227</v>
      </c>
      <c r="J83">
        <v>303</v>
      </c>
      <c r="K83" t="s">
        <v>35</v>
      </c>
      <c r="L83" t="s">
        <v>21</v>
      </c>
      <c r="M83" t="s">
        <v>21</v>
      </c>
      <c r="N83" cm="1">
        <f t="array" ref="N83">SUMPRODUCT(--(TRIM(K83:M83)&lt;&gt;"-")*(TRIM(K83:M83)&lt;&gt;"")*(ISTEXT(K83:M83)))</f>
        <v>1</v>
      </c>
      <c r="O83" t="s">
        <v>538</v>
      </c>
      <c r="P83" t="str" cm="1">
        <f t="array" ref="P83">IFERROR(INDEX('Cuisine Mapping'!$B$2:$B$71, MATCH(TRUE, ISNUMBER(SEARCH('Cuisine Mapping'!$A$2:$A$71,foodpanda_orders!$O83)),0)),"Others")</f>
        <v>Bengali/Desi</v>
      </c>
      <c r="Q83">
        <v>0</v>
      </c>
    </row>
    <row r="84" spans="1:17" x14ac:dyDescent="0.3">
      <c r="A84">
        <v>83</v>
      </c>
      <c r="B84" t="s">
        <v>798</v>
      </c>
      <c r="C84" s="2">
        <v>45829</v>
      </c>
      <c r="D84" s="3">
        <v>0.59444444444444444</v>
      </c>
      <c r="E84" s="1" t="s">
        <v>51</v>
      </c>
      <c r="F84" s="1" t="s">
        <v>530</v>
      </c>
      <c r="G84" s="1">
        <v>2025</v>
      </c>
      <c r="H84" t="s">
        <v>18</v>
      </c>
      <c r="I84" t="s">
        <v>228</v>
      </c>
      <c r="J84">
        <v>446</v>
      </c>
      <c r="K84" t="s">
        <v>229</v>
      </c>
      <c r="L84" t="s">
        <v>28</v>
      </c>
      <c r="M84" t="s">
        <v>21</v>
      </c>
      <c r="N84" cm="1">
        <f t="array" ref="N84">SUMPRODUCT(--(TRIM(K84:M84)&lt;&gt;"-")*(TRIM(K84:M84)&lt;&gt;"")*(ISTEXT(K84:M84)))</f>
        <v>2</v>
      </c>
      <c r="O84" t="s">
        <v>603</v>
      </c>
      <c r="P84" t="s">
        <v>748</v>
      </c>
      <c r="Q84">
        <v>0</v>
      </c>
    </row>
    <row r="85" spans="1:17" x14ac:dyDescent="0.3">
      <c r="A85">
        <v>84</v>
      </c>
      <c r="B85" t="s">
        <v>828</v>
      </c>
      <c r="C85" s="2">
        <v>45829</v>
      </c>
      <c r="D85" s="3">
        <v>0.59444444444444444</v>
      </c>
      <c r="E85" s="1" t="s">
        <v>51</v>
      </c>
      <c r="F85" s="1" t="s">
        <v>530</v>
      </c>
      <c r="G85" s="1">
        <v>2025</v>
      </c>
      <c r="H85" t="s">
        <v>18</v>
      </c>
      <c r="I85" t="s">
        <v>230</v>
      </c>
      <c r="J85">
        <v>399</v>
      </c>
      <c r="K85" t="s">
        <v>231</v>
      </c>
      <c r="L85" t="s">
        <v>232</v>
      </c>
      <c r="M85" t="s">
        <v>21</v>
      </c>
      <c r="N85" cm="1">
        <f t="array" ref="N85">SUMPRODUCT(--(TRIM(K85:M85)&lt;&gt;"-")*(TRIM(K85:M85)&lt;&gt;"")*(ISTEXT(K85:M85)))</f>
        <v>2</v>
      </c>
      <c r="O85" t="s">
        <v>604</v>
      </c>
      <c r="P85" t="str" cm="1">
        <f t="array" ref="P85">IFERROR(INDEX('Cuisine Mapping'!$B$2:$B$71, MATCH(TRUE, ISNUMBER(SEARCH('Cuisine Mapping'!$A$2:$A$71,foodpanda_orders!$O85)),0)),"Others")</f>
        <v>Others</v>
      </c>
      <c r="Q85">
        <v>0</v>
      </c>
    </row>
    <row r="86" spans="1:17" x14ac:dyDescent="0.3">
      <c r="A86">
        <v>85</v>
      </c>
      <c r="B86" t="s">
        <v>829</v>
      </c>
      <c r="C86" s="2">
        <v>45820</v>
      </c>
      <c r="D86" s="3">
        <v>0.60138888888888886</v>
      </c>
      <c r="E86" s="1" t="s">
        <v>46</v>
      </c>
      <c r="F86" s="1" t="s">
        <v>530</v>
      </c>
      <c r="G86" s="1">
        <v>2025</v>
      </c>
      <c r="H86" t="s">
        <v>18</v>
      </c>
      <c r="I86" t="s">
        <v>233</v>
      </c>
      <c r="J86">
        <v>375</v>
      </c>
      <c r="K86" t="s">
        <v>234</v>
      </c>
      <c r="L86" t="s">
        <v>21</v>
      </c>
      <c r="M86" t="s">
        <v>21</v>
      </c>
      <c r="N86" cm="1">
        <f t="array" ref="N86">SUMPRODUCT(--(TRIM(K86:M86)&lt;&gt;"-")*(TRIM(K86:M86)&lt;&gt;"")*(ISTEXT(K86:M86)))</f>
        <v>1</v>
      </c>
      <c r="O86" t="s">
        <v>605</v>
      </c>
      <c r="P86" t="str" cm="1">
        <f t="array" ref="P86">IFERROR(INDEX('Cuisine Mapping'!$B$2:$B$71, MATCH(TRUE, ISNUMBER(SEARCH('Cuisine Mapping'!$A$2:$A$71,foodpanda_orders!$O86)),0)),"Others")</f>
        <v>American/Fast Food</v>
      </c>
      <c r="Q86">
        <v>0</v>
      </c>
    </row>
    <row r="87" spans="1:17" x14ac:dyDescent="0.3">
      <c r="A87">
        <v>86</v>
      </c>
      <c r="B87" t="s">
        <v>830</v>
      </c>
      <c r="C87" s="2">
        <v>45815</v>
      </c>
      <c r="D87" s="3">
        <v>0.92013888888888884</v>
      </c>
      <c r="E87" s="1" t="s">
        <v>51</v>
      </c>
      <c r="F87" s="1" t="s">
        <v>530</v>
      </c>
      <c r="G87" s="1">
        <v>2025</v>
      </c>
      <c r="H87" t="s">
        <v>13</v>
      </c>
      <c r="I87" t="s">
        <v>235</v>
      </c>
      <c r="J87">
        <v>199</v>
      </c>
      <c r="K87" t="s">
        <v>236</v>
      </c>
      <c r="L87" t="s">
        <v>21</v>
      </c>
      <c r="M87" t="s">
        <v>21</v>
      </c>
      <c r="N87" cm="1">
        <f t="array" ref="N87">SUMPRODUCT(--(TRIM(K87:M87)&lt;&gt;"-")*(TRIM(K87:M87)&lt;&gt;"")*(ISTEXT(K87:M87)))</f>
        <v>1</v>
      </c>
      <c r="O87" t="s">
        <v>606</v>
      </c>
      <c r="P87" t="str" cm="1">
        <f t="array" ref="P87">IFERROR(INDEX('Cuisine Mapping'!$B$2:$B$71, MATCH(TRUE, ISNUMBER(SEARCH('Cuisine Mapping'!$A$2:$A$71,foodpanda_orders!$O87)),0)),"Others")</f>
        <v>Kabab/Grill</v>
      </c>
      <c r="Q87">
        <v>0</v>
      </c>
    </row>
    <row r="88" spans="1:17" x14ac:dyDescent="0.3">
      <c r="A88">
        <v>87</v>
      </c>
      <c r="B88" t="s">
        <v>830</v>
      </c>
      <c r="C88" s="2">
        <v>45815</v>
      </c>
      <c r="D88" s="3">
        <v>0.90833333333333333</v>
      </c>
      <c r="E88" s="1" t="s">
        <v>51</v>
      </c>
      <c r="F88" s="1" t="s">
        <v>530</v>
      </c>
      <c r="G88" s="1">
        <v>2025</v>
      </c>
      <c r="H88" t="s">
        <v>13</v>
      </c>
      <c r="I88" t="s">
        <v>237</v>
      </c>
      <c r="J88">
        <v>321</v>
      </c>
      <c r="K88" t="s">
        <v>238</v>
      </c>
      <c r="L88" t="s">
        <v>25</v>
      </c>
      <c r="M88" t="s">
        <v>21</v>
      </c>
      <c r="N88" cm="1">
        <f t="array" ref="N88">SUMPRODUCT(--(TRIM(K88:M88)&lt;&gt;"-")*(TRIM(K88:M88)&lt;&gt;"")*(ISTEXT(K88:M88)))</f>
        <v>2</v>
      </c>
      <c r="O88" t="s">
        <v>607</v>
      </c>
      <c r="P88" t="str" cm="1">
        <f t="array" ref="P88">IFERROR(INDEX('Cuisine Mapping'!$B$2:$B$71, MATCH(TRUE, ISNUMBER(SEARCH('Cuisine Mapping'!$A$2:$A$71,foodpanda_orders!$O88)),0)),"Others")</f>
        <v>Seafood</v>
      </c>
      <c r="Q88">
        <v>0</v>
      </c>
    </row>
    <row r="89" spans="1:17" x14ac:dyDescent="0.3">
      <c r="A89">
        <v>88</v>
      </c>
      <c r="B89" t="s">
        <v>809</v>
      </c>
      <c r="C89" s="2">
        <v>45810</v>
      </c>
      <c r="D89" s="3">
        <v>0.89444444444444449</v>
      </c>
      <c r="E89" s="1" t="s">
        <v>36</v>
      </c>
      <c r="F89" s="1" t="s">
        <v>530</v>
      </c>
      <c r="G89" s="1">
        <v>2025</v>
      </c>
      <c r="H89" t="s">
        <v>18</v>
      </c>
      <c r="I89" t="s">
        <v>239</v>
      </c>
      <c r="J89">
        <v>413</v>
      </c>
      <c r="K89" t="s">
        <v>240</v>
      </c>
      <c r="L89" t="s">
        <v>241</v>
      </c>
      <c r="M89" t="s">
        <v>21</v>
      </c>
      <c r="N89" cm="1">
        <f t="array" ref="N89">SUMPRODUCT(--(TRIM(K89:M89)&lt;&gt;"-")*(TRIM(K89:M89)&lt;&gt;"")*(ISTEXT(K89:M89)))</f>
        <v>2</v>
      </c>
      <c r="O89" t="s">
        <v>608</v>
      </c>
      <c r="P89" t="str" cm="1">
        <f t="array" ref="P89">IFERROR(INDEX('Cuisine Mapping'!$B$2:$B$71, MATCH(TRUE, ISNUMBER(SEARCH('Cuisine Mapping'!$A$2:$A$71,foodpanda_orders!$O89)),0)),"Others")</f>
        <v>American/Fast Food</v>
      </c>
      <c r="Q89">
        <v>0</v>
      </c>
    </row>
    <row r="90" spans="1:17" x14ac:dyDescent="0.3">
      <c r="A90">
        <v>89</v>
      </c>
      <c r="B90" t="s">
        <v>831</v>
      </c>
      <c r="C90" s="2">
        <v>45809</v>
      </c>
      <c r="D90" s="3">
        <v>0.63749999999999996</v>
      </c>
      <c r="E90" s="1" t="s">
        <v>17</v>
      </c>
      <c r="F90" s="1" t="s">
        <v>530</v>
      </c>
      <c r="G90" s="1">
        <v>2025</v>
      </c>
      <c r="H90" t="s">
        <v>18</v>
      </c>
      <c r="I90" t="s">
        <v>242</v>
      </c>
      <c r="J90">
        <v>353</v>
      </c>
      <c r="K90" t="s">
        <v>243</v>
      </c>
      <c r="L90" t="s">
        <v>244</v>
      </c>
      <c r="M90" t="s">
        <v>245</v>
      </c>
      <c r="N90" cm="1">
        <f t="array" ref="N90">SUMPRODUCT(--(TRIM(K90:M90)&lt;&gt;"-")*(TRIM(K90:M90)&lt;&gt;"")*(ISTEXT(K90:M90)))</f>
        <v>3</v>
      </c>
      <c r="O90" t="s">
        <v>609</v>
      </c>
      <c r="P90" t="str" cm="1">
        <f t="array" ref="P90">IFERROR(INDEX('Cuisine Mapping'!$B$2:$B$71, MATCH(TRUE, ISNUMBER(SEARCH('Cuisine Mapping'!$A$2:$A$71,foodpanda_orders!$O90)),0)),"Others")</f>
        <v>Bengali/Desi</v>
      </c>
      <c r="Q90">
        <v>0</v>
      </c>
    </row>
    <row r="91" spans="1:17" x14ac:dyDescent="0.3">
      <c r="A91">
        <v>90</v>
      </c>
      <c r="B91" t="s">
        <v>832</v>
      </c>
      <c r="C91" s="2">
        <v>45805</v>
      </c>
      <c r="D91" s="3">
        <v>0.90138888888888891</v>
      </c>
      <c r="E91" s="1" t="s">
        <v>23</v>
      </c>
      <c r="F91" s="1" t="s">
        <v>519</v>
      </c>
      <c r="G91" s="1">
        <v>2025</v>
      </c>
      <c r="H91" t="s">
        <v>18</v>
      </c>
      <c r="I91" t="s">
        <v>246</v>
      </c>
      <c r="J91">
        <v>319</v>
      </c>
      <c r="K91" t="s">
        <v>15</v>
      </c>
      <c r="L91" t="s">
        <v>247</v>
      </c>
      <c r="M91" t="s">
        <v>248</v>
      </c>
      <c r="N91" cm="1">
        <f t="array" ref="N91">SUMPRODUCT(--(TRIM(K91:M91)&lt;&gt;"-")*(TRIM(K91:M91)&lt;&gt;"")*(ISTEXT(K91:M91)))</f>
        <v>3</v>
      </c>
      <c r="O91" t="s">
        <v>533</v>
      </c>
      <c r="P91" t="str" cm="1">
        <f t="array" ref="P91">IFERROR(INDEX('Cuisine Mapping'!$B$2:$B$71, MATCH(TRUE, ISNUMBER(SEARCH('Cuisine Mapping'!$A$2:$A$71,foodpanda_orders!$O91)),0)),"Others")</f>
        <v>Kabab/Grill</v>
      </c>
      <c r="Q91">
        <v>0</v>
      </c>
    </row>
    <row r="92" spans="1:17" x14ac:dyDescent="0.3">
      <c r="A92">
        <v>91</v>
      </c>
      <c r="B92" t="s">
        <v>833</v>
      </c>
      <c r="C92" s="2">
        <v>45804</v>
      </c>
      <c r="D92" s="3">
        <v>0.96388888888888891</v>
      </c>
      <c r="E92" s="1" t="s">
        <v>12</v>
      </c>
      <c r="F92" s="1" t="s">
        <v>519</v>
      </c>
      <c r="G92" s="1">
        <v>2025</v>
      </c>
      <c r="H92" t="s">
        <v>18</v>
      </c>
      <c r="I92" t="s">
        <v>249</v>
      </c>
      <c r="J92">
        <v>352</v>
      </c>
      <c r="K92" t="s">
        <v>250</v>
      </c>
      <c r="L92" t="s">
        <v>251</v>
      </c>
      <c r="M92" t="s">
        <v>21</v>
      </c>
      <c r="N92" cm="1">
        <f t="array" ref="N92">SUMPRODUCT(--(TRIM(K92:M92)&lt;&gt;"-")*(TRIM(K92:M92)&lt;&gt;"")*(ISTEXT(K92:M92)))</f>
        <v>2</v>
      </c>
      <c r="O92" t="s">
        <v>610</v>
      </c>
      <c r="P92" t="s">
        <v>730</v>
      </c>
      <c r="Q92">
        <v>0</v>
      </c>
    </row>
    <row r="93" spans="1:17" x14ac:dyDescent="0.3">
      <c r="A93">
        <v>92</v>
      </c>
      <c r="B93" t="s">
        <v>784</v>
      </c>
      <c r="C93" s="2">
        <v>45802</v>
      </c>
      <c r="D93" s="3">
        <v>0.76944444444444449</v>
      </c>
      <c r="E93" s="1" t="s">
        <v>17</v>
      </c>
      <c r="F93" s="1" t="s">
        <v>519</v>
      </c>
      <c r="G93" s="1">
        <v>2025</v>
      </c>
      <c r="H93" t="s">
        <v>18</v>
      </c>
      <c r="I93" t="s">
        <v>252</v>
      </c>
      <c r="J93">
        <v>599</v>
      </c>
      <c r="K93" t="s">
        <v>253</v>
      </c>
      <c r="L93" t="s">
        <v>254</v>
      </c>
      <c r="M93" t="s">
        <v>21</v>
      </c>
      <c r="N93" cm="1">
        <f t="array" ref="N93">SUMPRODUCT(--(TRIM(K93:M93)&lt;&gt;"-")*(TRIM(K93:M93)&lt;&gt;"")*(ISTEXT(K93:M93)))</f>
        <v>2</v>
      </c>
      <c r="O93" t="s">
        <v>585</v>
      </c>
      <c r="P93" t="str" cm="1">
        <f t="array" ref="P93">IFERROR(INDEX('Cuisine Mapping'!$B$2:$B$71, MATCH(TRUE, ISNUMBER(SEARCH('Cuisine Mapping'!$A$2:$A$71,foodpanda_orders!$O93)),0)),"Others")</f>
        <v>East Asian</v>
      </c>
      <c r="Q93">
        <v>0</v>
      </c>
    </row>
    <row r="94" spans="1:17" x14ac:dyDescent="0.3">
      <c r="A94">
        <v>93</v>
      </c>
      <c r="B94" t="s">
        <v>785</v>
      </c>
      <c r="C94" s="2">
        <v>45800</v>
      </c>
      <c r="D94" s="3">
        <v>0.9375</v>
      </c>
      <c r="E94" s="1" t="s">
        <v>31</v>
      </c>
      <c r="F94" s="1" t="s">
        <v>519</v>
      </c>
      <c r="G94" s="1">
        <v>2025</v>
      </c>
      <c r="H94" t="s">
        <v>18</v>
      </c>
      <c r="I94" t="s">
        <v>255</v>
      </c>
      <c r="J94" s="4">
        <v>1153</v>
      </c>
      <c r="K94" t="s">
        <v>256</v>
      </c>
      <c r="L94" t="s">
        <v>257</v>
      </c>
      <c r="M94" t="s">
        <v>258</v>
      </c>
      <c r="N94" cm="1">
        <f t="array" ref="N94">SUMPRODUCT(--(TRIM(K94:M94)&lt;&gt;"-")*(TRIM(K94:M94)&lt;&gt;"")*(ISTEXT(K94:M94)))</f>
        <v>3</v>
      </c>
      <c r="O94" t="s">
        <v>611</v>
      </c>
      <c r="P94" t="s">
        <v>748</v>
      </c>
      <c r="Q94">
        <v>0</v>
      </c>
    </row>
    <row r="95" spans="1:17" x14ac:dyDescent="0.3">
      <c r="A95">
        <v>94</v>
      </c>
      <c r="B95" t="s">
        <v>781</v>
      </c>
      <c r="C95" s="2">
        <v>45798</v>
      </c>
      <c r="D95" s="3">
        <v>0.89444444444444449</v>
      </c>
      <c r="E95" s="1" t="s">
        <v>23</v>
      </c>
      <c r="F95" s="1" t="s">
        <v>519</v>
      </c>
      <c r="G95" s="1">
        <v>2025</v>
      </c>
      <c r="H95" t="s">
        <v>18</v>
      </c>
      <c r="I95" t="s">
        <v>259</v>
      </c>
      <c r="J95" s="4">
        <v>1022</v>
      </c>
      <c r="K95" t="s">
        <v>260</v>
      </c>
      <c r="L95" t="s">
        <v>21</v>
      </c>
      <c r="M95" t="s">
        <v>21</v>
      </c>
      <c r="N95" cm="1">
        <f t="array" ref="N95">SUMPRODUCT(--(TRIM(K95:M95)&lt;&gt;"-")*(TRIM(K95:M95)&lt;&gt;"")*(ISTEXT(K95:M95)))</f>
        <v>1</v>
      </c>
      <c r="O95" t="s">
        <v>538</v>
      </c>
      <c r="P95" t="str" cm="1">
        <f t="array" ref="P95">IFERROR(INDEX('Cuisine Mapping'!$B$2:$B$71, MATCH(TRUE, ISNUMBER(SEARCH('Cuisine Mapping'!$A$2:$A$71,foodpanda_orders!$O95)),0)),"Others")</f>
        <v>Bengali/Desi</v>
      </c>
      <c r="Q95">
        <v>0</v>
      </c>
    </row>
    <row r="96" spans="1:17" x14ac:dyDescent="0.3">
      <c r="A96">
        <v>95</v>
      </c>
      <c r="B96" t="s">
        <v>834</v>
      </c>
      <c r="C96" s="2">
        <v>45797</v>
      </c>
      <c r="D96" s="3">
        <v>0.60763888888888884</v>
      </c>
      <c r="E96" s="1" t="s">
        <v>12</v>
      </c>
      <c r="F96" s="1" t="s">
        <v>519</v>
      </c>
      <c r="G96" s="1">
        <v>2025</v>
      </c>
      <c r="H96" t="s">
        <v>18</v>
      </c>
      <c r="I96" t="s">
        <v>261</v>
      </c>
      <c r="J96">
        <v>410</v>
      </c>
      <c r="K96" t="s">
        <v>262</v>
      </c>
      <c r="L96" t="s">
        <v>21</v>
      </c>
      <c r="M96" t="s">
        <v>21</v>
      </c>
      <c r="N96" cm="1">
        <f t="array" ref="N96">SUMPRODUCT(--(TRIM(K96:M96)&lt;&gt;"-")*(TRIM(K96:M96)&lt;&gt;"")*(ISTEXT(K96:M96)))</f>
        <v>1</v>
      </c>
      <c r="O96" t="s">
        <v>612</v>
      </c>
      <c r="P96" t="str" cm="1">
        <f t="array" ref="P96">IFERROR(INDEX('Cuisine Mapping'!$B$2:$B$71, MATCH(TRUE, ISNUMBER(SEARCH('Cuisine Mapping'!$A$2:$A$71,foodpanda_orders!$O96)),0)),"Others")</f>
        <v>Others</v>
      </c>
      <c r="Q96">
        <v>0</v>
      </c>
    </row>
    <row r="97" spans="1:17" x14ac:dyDescent="0.3">
      <c r="A97">
        <v>96</v>
      </c>
      <c r="B97" t="s">
        <v>795</v>
      </c>
      <c r="C97" s="2">
        <v>45795</v>
      </c>
      <c r="D97" s="3">
        <v>0.98055555555555551</v>
      </c>
      <c r="E97" s="1" t="s">
        <v>17</v>
      </c>
      <c r="F97" s="1" t="s">
        <v>519</v>
      </c>
      <c r="G97" s="1">
        <v>2025</v>
      </c>
      <c r="H97" t="s">
        <v>18</v>
      </c>
      <c r="I97" t="s">
        <v>263</v>
      </c>
      <c r="J97">
        <v>332</v>
      </c>
      <c r="K97" t="s">
        <v>264</v>
      </c>
      <c r="L97" t="s">
        <v>265</v>
      </c>
      <c r="M97" t="s">
        <v>266</v>
      </c>
      <c r="N97" cm="1">
        <f t="array" ref="N97">SUMPRODUCT(--(TRIM(K97:M97)&lt;&gt;"-")*(TRIM(K97:M97)&lt;&gt;"")*(ISTEXT(K97:M97)))</f>
        <v>3</v>
      </c>
      <c r="O97" t="s">
        <v>613</v>
      </c>
      <c r="P97" t="str" cm="1">
        <f t="array" ref="P97">IFERROR(INDEX('Cuisine Mapping'!$B$2:$B$71, MATCH(TRUE, ISNUMBER(SEARCH('Cuisine Mapping'!$A$2:$A$71,foodpanda_orders!$O97)),0)),"Others")</f>
        <v>Middle Eastern</v>
      </c>
      <c r="Q97">
        <v>0</v>
      </c>
    </row>
    <row r="98" spans="1:17" x14ac:dyDescent="0.3">
      <c r="A98">
        <v>97</v>
      </c>
      <c r="B98" t="s">
        <v>809</v>
      </c>
      <c r="C98" s="2">
        <v>45792</v>
      </c>
      <c r="D98" s="3">
        <v>0.87638888888888888</v>
      </c>
      <c r="E98" s="1" t="s">
        <v>46</v>
      </c>
      <c r="F98" s="1" t="s">
        <v>519</v>
      </c>
      <c r="G98" s="1">
        <v>2025</v>
      </c>
      <c r="H98" t="s">
        <v>18</v>
      </c>
      <c r="I98" t="s">
        <v>267</v>
      </c>
      <c r="J98">
        <v>382</v>
      </c>
      <c r="K98" t="s">
        <v>268</v>
      </c>
      <c r="L98" t="s">
        <v>269</v>
      </c>
      <c r="M98" t="s">
        <v>21</v>
      </c>
      <c r="N98" cm="1">
        <f t="array" ref="N98">SUMPRODUCT(--(TRIM(K98:M98)&lt;&gt;"-")*(TRIM(K98:M98)&lt;&gt;"")*(ISTEXT(K98:M98)))</f>
        <v>2</v>
      </c>
      <c r="O98" t="s">
        <v>614</v>
      </c>
      <c r="P98" t="str" cm="1">
        <f t="array" ref="P98">IFERROR(INDEX('Cuisine Mapping'!$B$2:$B$71, MATCH(TRUE, ISNUMBER(SEARCH('Cuisine Mapping'!$A$2:$A$71,foodpanda_orders!$O98)),0)),"Others")</f>
        <v>American/Fast Food</v>
      </c>
      <c r="Q98">
        <v>0</v>
      </c>
    </row>
    <row r="99" spans="1:17" x14ac:dyDescent="0.3">
      <c r="A99">
        <v>98</v>
      </c>
      <c r="B99" t="s">
        <v>835</v>
      </c>
      <c r="C99" s="2">
        <v>45791</v>
      </c>
      <c r="D99" s="3">
        <v>0.89236111111111116</v>
      </c>
      <c r="E99" s="1" t="s">
        <v>23</v>
      </c>
      <c r="F99" s="1" t="s">
        <v>519</v>
      </c>
      <c r="G99" s="1">
        <v>2025</v>
      </c>
      <c r="H99" t="s">
        <v>18</v>
      </c>
      <c r="I99" t="s">
        <v>270</v>
      </c>
      <c r="J99">
        <v>479</v>
      </c>
      <c r="K99" t="s">
        <v>271</v>
      </c>
      <c r="L99" t="s">
        <v>272</v>
      </c>
      <c r="M99" t="s">
        <v>21</v>
      </c>
      <c r="N99" cm="1">
        <f t="array" ref="N99">SUMPRODUCT(--(TRIM(K99:M99)&lt;&gt;"-")*(TRIM(K99:M99)&lt;&gt;"")*(ISTEXT(K99:M99)))</f>
        <v>2</v>
      </c>
      <c r="O99" t="s">
        <v>615</v>
      </c>
      <c r="P99" t="str" cm="1">
        <f t="array" ref="P99">IFERROR(INDEX('Cuisine Mapping'!$B$2:$B$71, MATCH(TRUE, ISNUMBER(SEARCH('Cuisine Mapping'!$A$2:$A$71,foodpanda_orders!$O99)),0)),"Others")</f>
        <v>American/Fast Food</v>
      </c>
      <c r="Q99">
        <v>0</v>
      </c>
    </row>
    <row r="100" spans="1:17" x14ac:dyDescent="0.3">
      <c r="A100">
        <v>99</v>
      </c>
      <c r="B100" t="s">
        <v>833</v>
      </c>
      <c r="C100" s="2">
        <v>45789</v>
      </c>
      <c r="D100" s="3">
        <v>0.97013888888888888</v>
      </c>
      <c r="E100" s="1" t="s">
        <v>36</v>
      </c>
      <c r="F100" s="1" t="s">
        <v>519</v>
      </c>
      <c r="G100" s="1">
        <v>2025</v>
      </c>
      <c r="H100" t="s">
        <v>18</v>
      </c>
      <c r="I100" t="s">
        <v>273</v>
      </c>
      <c r="J100">
        <v>356</v>
      </c>
      <c r="K100" t="s">
        <v>250</v>
      </c>
      <c r="L100" t="s">
        <v>274</v>
      </c>
      <c r="M100" t="s">
        <v>21</v>
      </c>
      <c r="N100" cm="1">
        <f t="array" ref="N100">SUMPRODUCT(--(TRIM(K100:M100)&lt;&gt;"-")*(TRIM(K100:M100)&lt;&gt;"")*(ISTEXT(K100:M100)))</f>
        <v>2</v>
      </c>
      <c r="O100" t="s">
        <v>610</v>
      </c>
      <c r="P100" t="s">
        <v>730</v>
      </c>
      <c r="Q100">
        <v>0</v>
      </c>
    </row>
    <row r="101" spans="1:17" x14ac:dyDescent="0.3">
      <c r="A101">
        <v>100</v>
      </c>
      <c r="B101" t="s">
        <v>836</v>
      </c>
      <c r="C101" s="2">
        <v>45787</v>
      </c>
      <c r="D101" s="3">
        <v>0.61875000000000002</v>
      </c>
      <c r="E101" s="1" t="s">
        <v>51</v>
      </c>
      <c r="F101" s="1" t="s">
        <v>519</v>
      </c>
      <c r="G101" s="1">
        <v>2025</v>
      </c>
      <c r="H101" t="s">
        <v>18</v>
      </c>
      <c r="I101" t="s">
        <v>275</v>
      </c>
      <c r="J101">
        <v>377</v>
      </c>
      <c r="K101" t="s">
        <v>276</v>
      </c>
      <c r="L101" t="s">
        <v>69</v>
      </c>
      <c r="M101" t="s">
        <v>21</v>
      </c>
      <c r="N101" cm="1">
        <f t="array" ref="N101">SUMPRODUCT(--(TRIM(K101:M101)&lt;&gt;"-")*(TRIM(K101:M101)&lt;&gt;"")*(ISTEXT(K101:M101)))</f>
        <v>2</v>
      </c>
      <c r="O101" t="s">
        <v>616</v>
      </c>
      <c r="P101" t="str" cm="1">
        <f t="array" ref="P101">IFERROR(INDEX('Cuisine Mapping'!$B$2:$B$71, MATCH(TRUE, ISNUMBER(SEARCH('Cuisine Mapping'!$A$2:$A$71,foodpanda_orders!$O101)),0)),"Others")</f>
        <v>Rice Bowls</v>
      </c>
      <c r="Q101">
        <v>0</v>
      </c>
    </row>
    <row r="102" spans="1:17" x14ac:dyDescent="0.3">
      <c r="A102">
        <v>101</v>
      </c>
      <c r="B102" t="s">
        <v>830</v>
      </c>
      <c r="C102" s="2">
        <v>45782</v>
      </c>
      <c r="D102" s="3">
        <v>0.9</v>
      </c>
      <c r="E102" s="1" t="s">
        <v>36</v>
      </c>
      <c r="F102" s="1" t="s">
        <v>519</v>
      </c>
      <c r="G102" s="1">
        <v>2025</v>
      </c>
      <c r="H102" t="s">
        <v>18</v>
      </c>
      <c r="I102" t="s">
        <v>277</v>
      </c>
      <c r="J102">
        <v>333</v>
      </c>
      <c r="K102" t="s">
        <v>278</v>
      </c>
      <c r="L102" t="s">
        <v>25</v>
      </c>
      <c r="M102" t="s">
        <v>21</v>
      </c>
      <c r="N102" cm="1">
        <f t="array" ref="N102">SUMPRODUCT(--(TRIM(K102:M102)&lt;&gt;"-")*(TRIM(K102:M102)&lt;&gt;"")*(ISTEXT(K102:M102)))</f>
        <v>2</v>
      </c>
      <c r="O102" t="s">
        <v>617</v>
      </c>
      <c r="P102" t="str" cm="1">
        <f t="array" ref="P102">IFERROR(INDEX('Cuisine Mapping'!$B$2:$B$71, MATCH(TRUE, ISNUMBER(SEARCH('Cuisine Mapping'!$A$2:$A$71,foodpanda_orders!$O102)),0)),"Others")</f>
        <v>Bengali/Desi</v>
      </c>
      <c r="Q102">
        <v>2</v>
      </c>
    </row>
    <row r="103" spans="1:17" x14ac:dyDescent="0.3">
      <c r="A103">
        <v>102</v>
      </c>
      <c r="B103" t="s">
        <v>792</v>
      </c>
      <c r="C103" s="2">
        <v>45775</v>
      </c>
      <c r="D103" s="3">
        <v>0.80972222222222223</v>
      </c>
      <c r="E103" s="1" t="s">
        <v>36</v>
      </c>
      <c r="F103" s="1" t="s">
        <v>520</v>
      </c>
      <c r="G103" s="1">
        <v>2025</v>
      </c>
      <c r="H103" t="s">
        <v>18</v>
      </c>
      <c r="I103" t="s">
        <v>279</v>
      </c>
      <c r="J103">
        <v>645</v>
      </c>
      <c r="K103" t="s">
        <v>280</v>
      </c>
      <c r="L103" t="s">
        <v>281</v>
      </c>
      <c r="M103" t="s">
        <v>21</v>
      </c>
      <c r="N103" cm="1">
        <f t="array" ref="N103">SUMPRODUCT(--(TRIM(K103:M103)&lt;&gt;"-")*(TRIM(K103:M103)&lt;&gt;"")*(ISTEXT(K103:M103)))</f>
        <v>2</v>
      </c>
      <c r="O103" t="s">
        <v>618</v>
      </c>
      <c r="P103" t="str" cm="1">
        <f t="array" ref="P103">IFERROR(INDEX('Cuisine Mapping'!$B$2:$B$71, MATCH(TRUE, ISNUMBER(SEARCH('Cuisine Mapping'!$A$2:$A$71,foodpanda_orders!$O103)),0)),"Others")</f>
        <v>Rice Bowls</v>
      </c>
      <c r="Q103">
        <v>3</v>
      </c>
    </row>
    <row r="104" spans="1:17" x14ac:dyDescent="0.3">
      <c r="A104">
        <v>103</v>
      </c>
      <c r="B104" t="s">
        <v>837</v>
      </c>
      <c r="C104" s="2">
        <v>45773</v>
      </c>
      <c r="D104" s="3">
        <v>0.91736111111111107</v>
      </c>
      <c r="E104" s="1" t="s">
        <v>51</v>
      </c>
      <c r="F104" s="1" t="s">
        <v>520</v>
      </c>
      <c r="G104" s="1">
        <v>2025</v>
      </c>
      <c r="H104" t="s">
        <v>18</v>
      </c>
      <c r="I104" t="s">
        <v>282</v>
      </c>
      <c r="J104">
        <v>867</v>
      </c>
      <c r="K104" t="s">
        <v>283</v>
      </c>
      <c r="L104" t="s">
        <v>21</v>
      </c>
      <c r="M104" t="s">
        <v>21</v>
      </c>
      <c r="N104" cm="1">
        <f t="array" ref="N104">SUMPRODUCT(--(TRIM(K104:M104)&lt;&gt;"-")*(TRIM(K104:M104)&lt;&gt;"")*(ISTEXT(K104:M104)))</f>
        <v>1</v>
      </c>
      <c r="O104" t="s">
        <v>619</v>
      </c>
      <c r="P104" t="str" cm="1">
        <f t="array" ref="P104">IFERROR(INDEX('Cuisine Mapping'!$B$2:$B$71, MATCH(TRUE, ISNUMBER(SEARCH('Cuisine Mapping'!$A$2:$A$71,foodpanda_orders!$O104)),0)),"Others")</f>
        <v>East Asian</v>
      </c>
      <c r="Q104">
        <v>3</v>
      </c>
    </row>
    <row r="105" spans="1:17" x14ac:dyDescent="0.3">
      <c r="A105">
        <v>104</v>
      </c>
      <c r="B105" t="s">
        <v>838</v>
      </c>
      <c r="C105" s="2">
        <v>45768</v>
      </c>
      <c r="D105" s="3">
        <v>0.92013888888888884</v>
      </c>
      <c r="E105" s="1" t="s">
        <v>36</v>
      </c>
      <c r="F105" s="1" t="s">
        <v>520</v>
      </c>
      <c r="G105" s="1">
        <v>2025</v>
      </c>
      <c r="H105" t="s">
        <v>18</v>
      </c>
      <c r="I105" t="s">
        <v>284</v>
      </c>
      <c r="J105">
        <v>364</v>
      </c>
      <c r="K105" t="s">
        <v>285</v>
      </c>
      <c r="L105" t="s">
        <v>286</v>
      </c>
      <c r="M105" t="s">
        <v>21</v>
      </c>
      <c r="N105" cm="1">
        <f t="array" ref="N105">SUMPRODUCT(--(TRIM(K105:M105)&lt;&gt;"-")*(TRIM(K105:M105)&lt;&gt;"")*(ISTEXT(K105:M105)))</f>
        <v>2</v>
      </c>
      <c r="O105" t="s">
        <v>620</v>
      </c>
      <c r="P105" t="str" cm="1">
        <f t="array" ref="P105">IFERROR(INDEX('Cuisine Mapping'!$B$2:$B$71, MATCH(TRUE, ISNUMBER(SEARCH('Cuisine Mapping'!$A$2:$A$71,foodpanda_orders!$O105)),0)),"Others")</f>
        <v>American/Fast Food</v>
      </c>
      <c r="Q105">
        <v>3</v>
      </c>
    </row>
    <row r="106" spans="1:17" x14ac:dyDescent="0.3">
      <c r="A106">
        <v>105</v>
      </c>
      <c r="B106" t="s">
        <v>784</v>
      </c>
      <c r="C106" s="2">
        <v>45759</v>
      </c>
      <c r="D106" s="3">
        <v>0.92847222222222225</v>
      </c>
      <c r="E106" s="1" t="s">
        <v>51</v>
      </c>
      <c r="F106" s="1" t="s">
        <v>520</v>
      </c>
      <c r="G106" s="1">
        <v>2025</v>
      </c>
      <c r="H106" t="s">
        <v>18</v>
      </c>
      <c r="I106" t="s">
        <v>287</v>
      </c>
      <c r="J106">
        <v>785</v>
      </c>
      <c r="K106" t="s">
        <v>253</v>
      </c>
      <c r="L106" t="s">
        <v>288</v>
      </c>
      <c r="M106" t="s">
        <v>21</v>
      </c>
      <c r="N106" cm="1">
        <f t="array" ref="N106">SUMPRODUCT(--(TRIM(K106:M106)&lt;&gt;"-")*(TRIM(K106:M106)&lt;&gt;"")*(ISTEXT(K106:M106)))</f>
        <v>2</v>
      </c>
      <c r="O106" t="s">
        <v>585</v>
      </c>
      <c r="P106" t="str" cm="1">
        <f t="array" ref="P106">IFERROR(INDEX('Cuisine Mapping'!$B$2:$B$71, MATCH(TRUE, ISNUMBER(SEARCH('Cuisine Mapping'!$A$2:$A$71,foodpanda_orders!$O106)),0)),"Others")</f>
        <v>East Asian</v>
      </c>
      <c r="Q106">
        <v>0</v>
      </c>
    </row>
    <row r="107" spans="1:17" x14ac:dyDescent="0.3">
      <c r="A107">
        <v>106</v>
      </c>
      <c r="B107" t="s">
        <v>822</v>
      </c>
      <c r="C107" s="2">
        <v>45757</v>
      </c>
      <c r="D107" s="3">
        <v>0.95416666666666672</v>
      </c>
      <c r="E107" s="1" t="s">
        <v>46</v>
      </c>
      <c r="F107" s="1" t="s">
        <v>520</v>
      </c>
      <c r="G107" s="1">
        <v>2025</v>
      </c>
      <c r="H107" t="s">
        <v>18</v>
      </c>
      <c r="I107" t="s">
        <v>289</v>
      </c>
      <c r="J107">
        <v>413</v>
      </c>
      <c r="K107" t="s">
        <v>165</v>
      </c>
      <c r="L107" t="s">
        <v>290</v>
      </c>
      <c r="M107" t="s">
        <v>21</v>
      </c>
      <c r="N107" cm="1">
        <f t="array" ref="N107">SUMPRODUCT(--(TRIM(K107:M107)&lt;&gt;"-")*(TRIM(K107:M107)&lt;&gt;"")*(ISTEXT(K107:M107)))</f>
        <v>2</v>
      </c>
      <c r="O107" t="s">
        <v>583</v>
      </c>
      <c r="P107" t="str" cm="1">
        <f t="array" ref="P107">IFERROR(INDEX('Cuisine Mapping'!$B$2:$B$71, MATCH(TRUE, ISNUMBER(SEARCH('Cuisine Mapping'!$A$2:$A$71,foodpanda_orders!$O107)),0)),"Others")</f>
        <v>American/Fast Food</v>
      </c>
      <c r="Q107">
        <v>0</v>
      </c>
    </row>
    <row r="108" spans="1:17" x14ac:dyDescent="0.3">
      <c r="A108">
        <v>107</v>
      </c>
      <c r="B108" t="s">
        <v>839</v>
      </c>
      <c r="C108" s="2">
        <v>45741</v>
      </c>
      <c r="D108" s="3">
        <v>4.3055555555555562E-2</v>
      </c>
      <c r="E108" s="1" t="s">
        <v>12</v>
      </c>
      <c r="F108" s="1" t="s">
        <v>521</v>
      </c>
      <c r="G108" s="1">
        <v>2025</v>
      </c>
      <c r="H108" t="s">
        <v>18</v>
      </c>
      <c r="I108" t="s">
        <v>291</v>
      </c>
      <c r="J108">
        <v>496</v>
      </c>
      <c r="K108" t="s">
        <v>292</v>
      </c>
      <c r="L108" t="s">
        <v>21</v>
      </c>
      <c r="M108" t="s">
        <v>21</v>
      </c>
      <c r="N108" cm="1">
        <f t="array" ref="N108">SUMPRODUCT(--(TRIM(K108:M108)&lt;&gt;"-")*(TRIM(K108:M108)&lt;&gt;"")*(ISTEXT(K108:M108)))</f>
        <v>1</v>
      </c>
      <c r="O108" t="s">
        <v>621</v>
      </c>
      <c r="P108" t="s">
        <v>748</v>
      </c>
      <c r="Q108">
        <v>0</v>
      </c>
    </row>
    <row r="109" spans="1:17" x14ac:dyDescent="0.3">
      <c r="A109">
        <v>108</v>
      </c>
      <c r="B109" t="s">
        <v>838</v>
      </c>
      <c r="C109" s="2">
        <v>45729</v>
      </c>
      <c r="D109" s="3">
        <v>0.95347222222222228</v>
      </c>
      <c r="E109" s="1" t="s">
        <v>46</v>
      </c>
      <c r="F109" s="1" t="s">
        <v>521</v>
      </c>
      <c r="G109" s="1">
        <v>2025</v>
      </c>
      <c r="H109" t="s">
        <v>18</v>
      </c>
      <c r="I109" t="s">
        <v>293</v>
      </c>
      <c r="J109">
        <v>357</v>
      </c>
      <c r="K109" t="s">
        <v>294</v>
      </c>
      <c r="L109" t="s">
        <v>295</v>
      </c>
      <c r="M109" t="s">
        <v>21</v>
      </c>
      <c r="N109" cm="1">
        <f t="array" ref="N109">SUMPRODUCT(--(TRIM(K109:M109)&lt;&gt;"-")*(TRIM(K109:M109)&lt;&gt;"")*(ISTEXT(K109:M109)))</f>
        <v>2</v>
      </c>
      <c r="O109" t="s">
        <v>622</v>
      </c>
      <c r="P109" t="s">
        <v>748</v>
      </c>
      <c r="Q109">
        <v>0</v>
      </c>
    </row>
    <row r="110" spans="1:17" x14ac:dyDescent="0.3">
      <c r="A110">
        <v>109</v>
      </c>
      <c r="B110" t="s">
        <v>840</v>
      </c>
      <c r="C110" s="2">
        <v>45717</v>
      </c>
      <c r="D110" s="3">
        <v>0.64166666666666672</v>
      </c>
      <c r="E110" s="1" t="s">
        <v>51</v>
      </c>
      <c r="F110" s="1" t="s">
        <v>521</v>
      </c>
      <c r="G110" s="1">
        <v>2025</v>
      </c>
      <c r="H110" t="s">
        <v>18</v>
      </c>
      <c r="I110" t="s">
        <v>296</v>
      </c>
      <c r="J110">
        <v>390</v>
      </c>
      <c r="K110" t="s">
        <v>297</v>
      </c>
      <c r="L110" t="s">
        <v>21</v>
      </c>
      <c r="M110" t="s">
        <v>21</v>
      </c>
      <c r="N110" cm="1">
        <f t="array" ref="N110">SUMPRODUCT(--(TRIM(K110:M110)&lt;&gt;"-")*(TRIM(K110:M110)&lt;&gt;"")*(ISTEXT(K110:M110)))</f>
        <v>1</v>
      </c>
      <c r="O110" t="s">
        <v>623</v>
      </c>
      <c r="P110" t="str" cm="1">
        <f t="array" ref="P110">IFERROR(INDEX('Cuisine Mapping'!$B$2:$B$71, MATCH(TRUE, ISNUMBER(SEARCH('Cuisine Mapping'!$A$2:$A$71,foodpanda_orders!$O110)),0)),"Others")</f>
        <v>Bengali/Desi</v>
      </c>
      <c r="Q110">
        <v>0</v>
      </c>
    </row>
    <row r="111" spans="1:17" x14ac:dyDescent="0.3">
      <c r="A111">
        <v>110</v>
      </c>
      <c r="B111" t="s">
        <v>839</v>
      </c>
      <c r="C111" s="2">
        <v>45715</v>
      </c>
      <c r="D111" s="3">
        <v>0.96805555555555556</v>
      </c>
      <c r="E111" s="1" t="s">
        <v>46</v>
      </c>
      <c r="F111" s="1" t="s">
        <v>522</v>
      </c>
      <c r="G111" s="1">
        <v>2025</v>
      </c>
      <c r="H111" t="s">
        <v>18</v>
      </c>
      <c r="I111" t="s">
        <v>298</v>
      </c>
      <c r="J111">
        <v>451</v>
      </c>
      <c r="K111" t="s">
        <v>299</v>
      </c>
      <c r="L111" t="s">
        <v>28</v>
      </c>
      <c r="M111" t="s">
        <v>21</v>
      </c>
      <c r="N111" cm="1">
        <f t="array" ref="N111">SUMPRODUCT(--(TRIM(K111:M111)&lt;&gt;"-")*(TRIM(K111:M111)&lt;&gt;"")*(ISTEXT(K111:M111)))</f>
        <v>2</v>
      </c>
      <c r="O111" t="s">
        <v>621</v>
      </c>
      <c r="P111" t="s">
        <v>748</v>
      </c>
      <c r="Q111">
        <v>0</v>
      </c>
    </row>
    <row r="112" spans="1:17" x14ac:dyDescent="0.3">
      <c r="A112">
        <v>111</v>
      </c>
      <c r="B112" t="s">
        <v>839</v>
      </c>
      <c r="C112" s="2">
        <v>45682</v>
      </c>
      <c r="D112" s="3">
        <v>0.89444444444444449</v>
      </c>
      <c r="E112" s="1" t="s">
        <v>51</v>
      </c>
      <c r="F112" s="1" t="s">
        <v>523</v>
      </c>
      <c r="G112" s="1">
        <v>2025</v>
      </c>
      <c r="H112" t="s">
        <v>18</v>
      </c>
      <c r="I112" t="s">
        <v>300</v>
      </c>
      <c r="J112">
        <v>731</v>
      </c>
      <c r="K112" t="s">
        <v>301</v>
      </c>
      <c r="L112" t="s">
        <v>302</v>
      </c>
      <c r="M112" t="s">
        <v>21</v>
      </c>
      <c r="N112" cm="1">
        <f t="array" ref="N112">SUMPRODUCT(--(TRIM(K112:M112)&lt;&gt;"-")*(TRIM(K112:M112)&lt;&gt;"")*(ISTEXT(K112:M112)))</f>
        <v>2</v>
      </c>
      <c r="O112" t="s">
        <v>624</v>
      </c>
      <c r="P112" t="str" cm="1">
        <f t="array" ref="P112">IFERROR(INDEX('Cuisine Mapping'!$B$2:$B$71, MATCH(TRUE, ISNUMBER(SEARCH('Cuisine Mapping'!$A$2:$A$71,foodpanda_orders!$O112)),0)),"Others")</f>
        <v>Italian/Pizza</v>
      </c>
      <c r="Q112">
        <v>0</v>
      </c>
    </row>
    <row r="113" spans="1:17" x14ac:dyDescent="0.3">
      <c r="A113">
        <v>112</v>
      </c>
      <c r="B113" t="s">
        <v>828</v>
      </c>
      <c r="C113" s="2">
        <v>45678</v>
      </c>
      <c r="D113" s="3">
        <v>0.8979166666666667</v>
      </c>
      <c r="E113" s="1" t="s">
        <v>12</v>
      </c>
      <c r="F113" s="1" t="s">
        <v>523</v>
      </c>
      <c r="G113" s="1">
        <v>2025</v>
      </c>
      <c r="H113" t="s">
        <v>13</v>
      </c>
      <c r="I113" t="s">
        <v>303</v>
      </c>
      <c r="J113">
        <v>399</v>
      </c>
      <c r="K113" t="s">
        <v>304</v>
      </c>
      <c r="L113" t="s">
        <v>305</v>
      </c>
      <c r="M113" t="s">
        <v>21</v>
      </c>
      <c r="N113" cm="1">
        <f t="array" ref="N113">SUMPRODUCT(--(TRIM(K113:M113)&lt;&gt;"-")*(TRIM(K113:M113)&lt;&gt;"")*(ISTEXT(K113:M113)))</f>
        <v>2</v>
      </c>
      <c r="O113" t="s">
        <v>625</v>
      </c>
      <c r="P113" t="s">
        <v>748</v>
      </c>
      <c r="Q113">
        <v>0</v>
      </c>
    </row>
    <row r="114" spans="1:17" x14ac:dyDescent="0.3">
      <c r="A114">
        <v>113</v>
      </c>
      <c r="B114" t="s">
        <v>841</v>
      </c>
      <c r="C114" s="2">
        <v>45677</v>
      </c>
      <c r="D114" s="3">
        <v>0.56874999999999998</v>
      </c>
      <c r="E114" s="1" t="s">
        <v>36</v>
      </c>
      <c r="F114" s="1" t="s">
        <v>523</v>
      </c>
      <c r="G114" s="1">
        <v>2025</v>
      </c>
      <c r="H114" t="s">
        <v>18</v>
      </c>
      <c r="I114" t="s">
        <v>306</v>
      </c>
      <c r="J114">
        <v>247</v>
      </c>
      <c r="K114" t="s">
        <v>307</v>
      </c>
      <c r="L114" t="s">
        <v>21</v>
      </c>
      <c r="M114" t="s">
        <v>21</v>
      </c>
      <c r="N114" cm="1">
        <f t="array" ref="N114">SUMPRODUCT(--(TRIM(K114:M114)&lt;&gt;"-")*(TRIM(K114:M114)&lt;&gt;"")*(ISTEXT(K114:M114)))</f>
        <v>1</v>
      </c>
      <c r="O114" t="s">
        <v>626</v>
      </c>
      <c r="P114" t="s">
        <v>748</v>
      </c>
      <c r="Q114">
        <v>0</v>
      </c>
    </row>
    <row r="115" spans="1:17" x14ac:dyDescent="0.3">
      <c r="A115">
        <v>114</v>
      </c>
      <c r="B115" t="s">
        <v>798</v>
      </c>
      <c r="C115" s="2">
        <v>45674</v>
      </c>
      <c r="D115" s="3">
        <v>0.95138888888888884</v>
      </c>
      <c r="E115" s="1" t="s">
        <v>31</v>
      </c>
      <c r="F115" s="1" t="s">
        <v>523</v>
      </c>
      <c r="G115" s="1">
        <v>2025</v>
      </c>
      <c r="H115" t="s">
        <v>18</v>
      </c>
      <c r="I115" t="s">
        <v>308</v>
      </c>
      <c r="J115">
        <v>477</v>
      </c>
      <c r="K115" t="s">
        <v>309</v>
      </c>
      <c r="L115" t="s">
        <v>310</v>
      </c>
      <c r="M115" t="s">
        <v>21</v>
      </c>
      <c r="N115" cm="1">
        <f t="array" ref="N115">SUMPRODUCT(--(TRIM(K115:M115)&lt;&gt;"-")*(TRIM(K115:M115)&lt;&gt;"")*(ISTEXT(K115:M115)))</f>
        <v>2</v>
      </c>
      <c r="O115" t="s">
        <v>627</v>
      </c>
      <c r="P115" t="str" cm="1">
        <f t="array" ref="P115">IFERROR(INDEX('Cuisine Mapping'!$B$2:$B$71, MATCH(TRUE, ISNUMBER(SEARCH('Cuisine Mapping'!$A$2:$A$71,foodpanda_orders!$O115)),0)),"Others")</f>
        <v>American/Fast Food</v>
      </c>
      <c r="Q115">
        <v>0</v>
      </c>
    </row>
    <row r="116" spans="1:17" x14ac:dyDescent="0.3">
      <c r="A116">
        <v>115</v>
      </c>
      <c r="B116" t="s">
        <v>842</v>
      </c>
      <c r="C116" s="2">
        <v>45636</v>
      </c>
      <c r="D116" s="3">
        <v>0.72222222222222221</v>
      </c>
      <c r="E116" s="1" t="s">
        <v>12</v>
      </c>
      <c r="F116" s="1" t="s">
        <v>524</v>
      </c>
      <c r="G116" s="1">
        <v>2024</v>
      </c>
      <c r="H116" t="s">
        <v>13</v>
      </c>
      <c r="I116" t="s">
        <v>311</v>
      </c>
      <c r="J116">
        <v>765</v>
      </c>
      <c r="K116" t="s">
        <v>312</v>
      </c>
      <c r="L116" t="s">
        <v>21</v>
      </c>
      <c r="M116" t="s">
        <v>21</v>
      </c>
      <c r="N116" cm="1">
        <f t="array" ref="N116">SUMPRODUCT(--(TRIM(K116:M116)&lt;&gt;"-")*(TRIM(K116:M116)&lt;&gt;"")*(ISTEXT(K116:M116)))</f>
        <v>1</v>
      </c>
      <c r="O116" t="s">
        <v>628</v>
      </c>
      <c r="P116" t="str" cm="1">
        <f t="array" ref="P116">IFERROR(INDEX('Cuisine Mapping'!$B$2:$B$71, MATCH(TRUE, ISNUMBER(SEARCH('Cuisine Mapping'!$A$2:$A$71,foodpanda_orders!$O116)),0)),"Others")</f>
        <v>Dessert/Bakery</v>
      </c>
      <c r="Q116">
        <v>0</v>
      </c>
    </row>
    <row r="117" spans="1:17" x14ac:dyDescent="0.3">
      <c r="A117">
        <v>116</v>
      </c>
      <c r="B117" t="s">
        <v>843</v>
      </c>
      <c r="C117" s="2">
        <v>45623</v>
      </c>
      <c r="D117" s="3">
        <v>0.91666666666666663</v>
      </c>
      <c r="E117" s="1" t="s">
        <v>23</v>
      </c>
      <c r="F117" s="1" t="s">
        <v>525</v>
      </c>
      <c r="G117" s="1">
        <v>2024</v>
      </c>
      <c r="H117" t="s">
        <v>18</v>
      </c>
      <c r="I117" t="s">
        <v>313</v>
      </c>
      <c r="J117">
        <v>771</v>
      </c>
      <c r="K117" t="s">
        <v>314</v>
      </c>
      <c r="L117" t="s">
        <v>315</v>
      </c>
      <c r="M117" t="s">
        <v>21</v>
      </c>
      <c r="N117" cm="1">
        <f t="array" ref="N117">SUMPRODUCT(--(TRIM(K117:M117)&lt;&gt;"-")*(TRIM(K117:M117)&lt;&gt;"")*(ISTEXT(K117:M117)))</f>
        <v>2</v>
      </c>
      <c r="O117" t="s">
        <v>629</v>
      </c>
      <c r="P117" t="str" cm="1">
        <f t="array" ref="P117">IFERROR(INDEX('Cuisine Mapping'!$B$2:$B$71, MATCH(TRUE, ISNUMBER(SEARCH('Cuisine Mapping'!$A$2:$A$71,foodpanda_orders!$O117)),0)),"Others")</f>
        <v>Seafood</v>
      </c>
      <c r="Q117">
        <v>0</v>
      </c>
    </row>
    <row r="118" spans="1:17" x14ac:dyDescent="0.3">
      <c r="A118">
        <v>117</v>
      </c>
      <c r="B118" t="s">
        <v>806</v>
      </c>
      <c r="C118" s="2">
        <v>45540</v>
      </c>
      <c r="D118" s="3">
        <v>0.58750000000000002</v>
      </c>
      <c r="E118" s="1" t="s">
        <v>46</v>
      </c>
      <c r="F118" s="1" t="s">
        <v>527</v>
      </c>
      <c r="G118" s="1">
        <v>2024</v>
      </c>
      <c r="H118" t="s">
        <v>18</v>
      </c>
      <c r="I118" t="s">
        <v>316</v>
      </c>
      <c r="J118">
        <v>296</v>
      </c>
      <c r="K118" t="s">
        <v>317</v>
      </c>
      <c r="L118" t="s">
        <v>21</v>
      </c>
      <c r="M118" t="s">
        <v>21</v>
      </c>
      <c r="N118" cm="1">
        <f t="array" ref="N118">SUMPRODUCT(--(TRIM(K118:M118)&lt;&gt;"-")*(TRIM(K118:M118)&lt;&gt;"")*(ISTEXT(K118:M118)))</f>
        <v>1</v>
      </c>
      <c r="O118" t="s">
        <v>630</v>
      </c>
      <c r="P118" t="str" cm="1">
        <f t="array" ref="P118">IFERROR(INDEX('Cuisine Mapping'!$B$2:$B$71, MATCH(TRUE, ISNUMBER(SEARCH('Cuisine Mapping'!$A$2:$A$71,foodpanda_orders!$O118)),0)),"Others")</f>
        <v>Bengali/Desi</v>
      </c>
      <c r="Q118">
        <v>0</v>
      </c>
    </row>
    <row r="119" spans="1:17" x14ac:dyDescent="0.3">
      <c r="A119">
        <v>118</v>
      </c>
      <c r="B119" t="s">
        <v>844</v>
      </c>
      <c r="C119" s="2">
        <v>45523</v>
      </c>
      <c r="D119" s="3">
        <v>0.63402777777777775</v>
      </c>
      <c r="E119" s="1" t="s">
        <v>36</v>
      </c>
      <c r="F119" s="1" t="s">
        <v>528</v>
      </c>
      <c r="G119" s="1">
        <v>2024</v>
      </c>
      <c r="H119" t="s">
        <v>18</v>
      </c>
      <c r="I119" t="s">
        <v>318</v>
      </c>
      <c r="J119">
        <v>591</v>
      </c>
      <c r="K119" t="s">
        <v>319</v>
      </c>
      <c r="L119" t="s">
        <v>320</v>
      </c>
      <c r="M119" t="s">
        <v>21</v>
      </c>
      <c r="N119" cm="1">
        <f t="array" ref="N119">SUMPRODUCT(--(TRIM(K119:M119)&lt;&gt;"-")*(TRIM(K119:M119)&lt;&gt;"")*(ISTEXT(K119:M119)))</f>
        <v>2</v>
      </c>
      <c r="O119" t="s">
        <v>631</v>
      </c>
      <c r="P119" t="s">
        <v>699</v>
      </c>
      <c r="Q119">
        <v>0</v>
      </c>
    </row>
    <row r="120" spans="1:17" x14ac:dyDescent="0.3">
      <c r="A120">
        <v>119</v>
      </c>
      <c r="B120" t="s">
        <v>828</v>
      </c>
      <c r="C120" s="2">
        <v>45433</v>
      </c>
      <c r="D120" s="3">
        <v>0.92152777777777772</v>
      </c>
      <c r="E120" s="1" t="s">
        <v>12</v>
      </c>
      <c r="F120" s="1" t="s">
        <v>519</v>
      </c>
      <c r="G120" s="1">
        <v>2024</v>
      </c>
      <c r="H120" t="s">
        <v>18</v>
      </c>
      <c r="I120" t="s">
        <v>321</v>
      </c>
      <c r="J120">
        <v>595</v>
      </c>
      <c r="K120" t="s">
        <v>322</v>
      </c>
      <c r="L120" t="s">
        <v>323</v>
      </c>
      <c r="M120" t="s">
        <v>324</v>
      </c>
      <c r="N120" cm="1">
        <f t="array" ref="N120">SUMPRODUCT(--(TRIM(K120:M120)&lt;&gt;"-")*(TRIM(K120:M120)&lt;&gt;"")*(ISTEXT(K120:M120)))</f>
        <v>3</v>
      </c>
      <c r="O120" t="s">
        <v>632</v>
      </c>
      <c r="P120" t="s">
        <v>748</v>
      </c>
      <c r="Q120">
        <v>5</v>
      </c>
    </row>
    <row r="121" spans="1:17" x14ac:dyDescent="0.3">
      <c r="A121">
        <v>120</v>
      </c>
      <c r="B121" t="s">
        <v>818</v>
      </c>
      <c r="C121" s="2">
        <v>45424</v>
      </c>
      <c r="D121" s="3">
        <v>0.56874999999999998</v>
      </c>
      <c r="E121" s="1" t="s">
        <v>17</v>
      </c>
      <c r="F121" s="1" t="s">
        <v>519</v>
      </c>
      <c r="G121" s="1">
        <v>2024</v>
      </c>
      <c r="H121" t="s">
        <v>18</v>
      </c>
      <c r="I121" t="s">
        <v>325</v>
      </c>
      <c r="J121">
        <v>382</v>
      </c>
      <c r="K121" t="s">
        <v>326</v>
      </c>
      <c r="L121" t="s">
        <v>327</v>
      </c>
      <c r="M121" t="s">
        <v>21</v>
      </c>
      <c r="N121" cm="1">
        <f t="array" ref="N121">SUMPRODUCT(--(TRIM(K121:M121)&lt;&gt;"-")*(TRIM(K121:M121)&lt;&gt;"")*(ISTEXT(K121:M121)))</f>
        <v>2</v>
      </c>
      <c r="O121" t="s">
        <v>633</v>
      </c>
      <c r="P121" t="str" cm="1">
        <f t="array" ref="P121">IFERROR(INDEX('Cuisine Mapping'!$B$2:$B$71, MATCH(TRUE, ISNUMBER(SEARCH('Cuisine Mapping'!$A$2:$A$71,foodpanda_orders!$O121)),0)),"Others")</f>
        <v>American/Fast Food</v>
      </c>
      <c r="Q121">
        <v>0</v>
      </c>
    </row>
    <row r="122" spans="1:17" x14ac:dyDescent="0.3">
      <c r="A122">
        <v>121</v>
      </c>
      <c r="B122" t="s">
        <v>845</v>
      </c>
      <c r="C122" s="2">
        <v>45402</v>
      </c>
      <c r="D122" s="3">
        <v>0.88958333333333328</v>
      </c>
      <c r="E122" s="1" t="s">
        <v>51</v>
      </c>
      <c r="F122" s="1" t="s">
        <v>520</v>
      </c>
      <c r="G122" s="1">
        <v>2024</v>
      </c>
      <c r="H122" t="s">
        <v>18</v>
      </c>
      <c r="I122" t="s">
        <v>328</v>
      </c>
      <c r="J122">
        <v>545</v>
      </c>
      <c r="K122" t="s">
        <v>329</v>
      </c>
      <c r="L122" t="s">
        <v>330</v>
      </c>
      <c r="M122" t="s">
        <v>21</v>
      </c>
      <c r="N122" cm="1">
        <f t="array" ref="N122">SUMPRODUCT(--(TRIM(K122:M122)&lt;&gt;"-")*(TRIM(K122:M122)&lt;&gt;"")*(ISTEXT(K122:M122)))</f>
        <v>2</v>
      </c>
      <c r="O122" t="s">
        <v>634</v>
      </c>
      <c r="P122" t="str" cm="1">
        <f t="array" ref="P122">IFERROR(INDEX('Cuisine Mapping'!$B$2:$B$71, MATCH(TRUE, ISNUMBER(SEARCH('Cuisine Mapping'!$A$2:$A$71,foodpanda_orders!$O122)),0)),"Others")</f>
        <v>American/Fast Food</v>
      </c>
      <c r="Q122">
        <v>0</v>
      </c>
    </row>
    <row r="123" spans="1:17" x14ac:dyDescent="0.3">
      <c r="A123">
        <v>122</v>
      </c>
      <c r="B123" t="s">
        <v>846</v>
      </c>
      <c r="C123" s="2">
        <v>45336</v>
      </c>
      <c r="D123" s="3">
        <v>0.58819444444444446</v>
      </c>
      <c r="E123" s="1" t="s">
        <v>23</v>
      </c>
      <c r="F123" s="1" t="s">
        <v>522</v>
      </c>
      <c r="G123" s="1">
        <v>2024</v>
      </c>
      <c r="H123" t="s">
        <v>18</v>
      </c>
      <c r="I123" t="s">
        <v>331</v>
      </c>
      <c r="J123">
        <v>339</v>
      </c>
      <c r="K123" t="s">
        <v>332</v>
      </c>
      <c r="L123" t="s">
        <v>333</v>
      </c>
      <c r="M123" t="s">
        <v>21</v>
      </c>
      <c r="N123" cm="1">
        <f t="array" ref="N123">SUMPRODUCT(--(TRIM(K123:M123)&lt;&gt;"-")*(TRIM(K123:M123)&lt;&gt;"")*(ISTEXT(K123:M123)))</f>
        <v>2</v>
      </c>
      <c r="O123" t="s">
        <v>635</v>
      </c>
      <c r="P123" t="str" cm="1">
        <f t="array" ref="P123">IFERROR(INDEX('Cuisine Mapping'!$B$2:$B$71, MATCH(TRUE, ISNUMBER(SEARCH('Cuisine Mapping'!$A$2:$A$71,foodpanda_orders!$O123)),0)),"Others")</f>
        <v>Kabab/Grill</v>
      </c>
      <c r="Q123">
        <v>0</v>
      </c>
    </row>
    <row r="124" spans="1:17" x14ac:dyDescent="0.3">
      <c r="A124">
        <v>123</v>
      </c>
      <c r="B124" t="s">
        <v>818</v>
      </c>
      <c r="C124" s="2">
        <v>45288</v>
      </c>
      <c r="D124" s="3">
        <v>0.57499999999999996</v>
      </c>
      <c r="E124" s="1" t="s">
        <v>46</v>
      </c>
      <c r="F124" s="1" t="s">
        <v>524</v>
      </c>
      <c r="G124" s="1">
        <v>2023</v>
      </c>
      <c r="H124" t="s">
        <v>18</v>
      </c>
      <c r="I124" t="s">
        <v>334</v>
      </c>
      <c r="J124">
        <v>334</v>
      </c>
      <c r="K124" t="s">
        <v>335</v>
      </c>
      <c r="L124" t="s">
        <v>336</v>
      </c>
      <c r="M124" t="s">
        <v>21</v>
      </c>
      <c r="N124" cm="1">
        <f t="array" ref="N124">SUMPRODUCT(--(TRIM(K124:M124)&lt;&gt;"-")*(TRIM(K124:M124)&lt;&gt;"")*(ISTEXT(K124:M124)))</f>
        <v>2</v>
      </c>
      <c r="O124" t="s">
        <v>636</v>
      </c>
      <c r="P124" t="str" cm="1">
        <f t="array" ref="P124">IFERROR(INDEX('Cuisine Mapping'!$B$2:$B$71, MATCH(TRUE, ISNUMBER(SEARCH('Cuisine Mapping'!$A$2:$A$71,foodpanda_orders!$O124)),0)),"Others")</f>
        <v>Kabab/Grill</v>
      </c>
      <c r="Q124">
        <v>0</v>
      </c>
    </row>
    <row r="125" spans="1:17" x14ac:dyDescent="0.3">
      <c r="A125">
        <v>124</v>
      </c>
      <c r="B125" t="s">
        <v>846</v>
      </c>
      <c r="C125" s="2">
        <v>45256</v>
      </c>
      <c r="D125" s="3">
        <v>0.58263888888888893</v>
      </c>
      <c r="E125" s="1" t="s">
        <v>17</v>
      </c>
      <c r="F125" s="1" t="s">
        <v>525</v>
      </c>
      <c r="G125" s="1">
        <v>2023</v>
      </c>
      <c r="H125" t="s">
        <v>18</v>
      </c>
      <c r="I125" t="s">
        <v>337</v>
      </c>
      <c r="J125">
        <v>358</v>
      </c>
      <c r="K125" t="s">
        <v>338</v>
      </c>
      <c r="L125" t="s">
        <v>339</v>
      </c>
      <c r="M125" t="s">
        <v>21</v>
      </c>
      <c r="N125" cm="1">
        <f t="array" ref="N125">SUMPRODUCT(--(TRIM(K125:M125)&lt;&gt;"-")*(TRIM(K125:M125)&lt;&gt;"")*(ISTEXT(K125:M125)))</f>
        <v>2</v>
      </c>
      <c r="O125" t="s">
        <v>637</v>
      </c>
      <c r="P125" t="str" cm="1">
        <f t="array" ref="P125">IFERROR(INDEX('Cuisine Mapping'!$B$2:$B$71, MATCH(TRUE, ISNUMBER(SEARCH('Cuisine Mapping'!$A$2:$A$71,foodpanda_orders!$O125)),0)),"Others")</f>
        <v>American/Fast Food</v>
      </c>
      <c r="Q125">
        <v>0</v>
      </c>
    </row>
    <row r="126" spans="1:17" x14ac:dyDescent="0.3">
      <c r="A126">
        <v>125</v>
      </c>
      <c r="B126" t="s">
        <v>785</v>
      </c>
      <c r="C126" s="2">
        <v>45250</v>
      </c>
      <c r="D126" s="3">
        <v>0.81874999999999998</v>
      </c>
      <c r="E126" s="1" t="s">
        <v>36</v>
      </c>
      <c r="F126" s="1" t="s">
        <v>525</v>
      </c>
      <c r="G126" s="1">
        <v>2023</v>
      </c>
      <c r="H126" t="s">
        <v>18</v>
      </c>
      <c r="I126" t="s">
        <v>340</v>
      </c>
      <c r="J126">
        <v>776</v>
      </c>
      <c r="K126" t="s">
        <v>341</v>
      </c>
      <c r="L126" t="s">
        <v>342</v>
      </c>
      <c r="M126" t="s">
        <v>343</v>
      </c>
      <c r="N126" cm="1">
        <f t="array" ref="N126">SUMPRODUCT(--(TRIM(K126:M126)&lt;&gt;"-")*(TRIM(K126:M126)&lt;&gt;"")*(ISTEXT(K126:M126)))</f>
        <v>3</v>
      </c>
      <c r="O126" t="s">
        <v>638</v>
      </c>
      <c r="P126" t="str" cm="1">
        <f t="array" ref="P126">IFERROR(INDEX('Cuisine Mapping'!$B$2:$B$71, MATCH(TRUE, ISNUMBER(SEARCH('Cuisine Mapping'!$A$2:$A$71,foodpanda_orders!$O126)),0)),"Others")</f>
        <v>American/Fast Food</v>
      </c>
      <c r="Q126">
        <v>0</v>
      </c>
    </row>
    <row r="127" spans="1:17" x14ac:dyDescent="0.3">
      <c r="A127">
        <v>126</v>
      </c>
      <c r="B127" t="s">
        <v>847</v>
      </c>
      <c r="C127" s="2">
        <v>45199</v>
      </c>
      <c r="D127" s="3">
        <v>0.60972222222222228</v>
      </c>
      <c r="E127" s="1" t="s">
        <v>51</v>
      </c>
      <c r="F127" s="1" t="s">
        <v>527</v>
      </c>
      <c r="G127" s="1">
        <v>2023</v>
      </c>
      <c r="H127" t="s">
        <v>18</v>
      </c>
      <c r="I127" t="s">
        <v>344</v>
      </c>
      <c r="J127">
        <v>299</v>
      </c>
      <c r="K127" t="s">
        <v>345</v>
      </c>
      <c r="L127" t="s">
        <v>21</v>
      </c>
      <c r="M127" t="s">
        <v>21</v>
      </c>
      <c r="N127" cm="1">
        <f t="array" ref="N127">SUMPRODUCT(--(TRIM(K127:M127)&lt;&gt;"-")*(TRIM(K127:M127)&lt;&gt;"")*(ISTEXT(K127:M127)))</f>
        <v>1</v>
      </c>
      <c r="O127" t="s">
        <v>639</v>
      </c>
      <c r="P127" t="str" cm="1">
        <f t="array" ref="P127">IFERROR(INDEX('Cuisine Mapping'!$B$2:$B$71, MATCH(TRUE, ISNUMBER(SEARCH('Cuisine Mapping'!$A$2:$A$71,foodpanda_orders!$O127)),0)),"Others")</f>
        <v>American/Fast Food</v>
      </c>
      <c r="Q127">
        <v>0</v>
      </c>
    </row>
    <row r="128" spans="1:17" x14ac:dyDescent="0.3">
      <c r="A128">
        <v>127</v>
      </c>
      <c r="B128" t="s">
        <v>848</v>
      </c>
      <c r="C128" s="2">
        <v>45193</v>
      </c>
      <c r="D128" s="3">
        <v>0.89930555555555558</v>
      </c>
      <c r="E128" s="1" t="s">
        <v>17</v>
      </c>
      <c r="F128" s="1" t="s">
        <v>527</v>
      </c>
      <c r="G128" s="1">
        <v>2023</v>
      </c>
      <c r="H128" t="s">
        <v>18</v>
      </c>
      <c r="I128" t="s">
        <v>346</v>
      </c>
      <c r="J128">
        <v>265</v>
      </c>
      <c r="K128" t="s">
        <v>15</v>
      </c>
      <c r="L128" t="s">
        <v>347</v>
      </c>
      <c r="M128" t="s">
        <v>348</v>
      </c>
      <c r="N128" cm="1">
        <f t="array" ref="N128">SUMPRODUCT(--(TRIM(K128:M128)&lt;&gt;"-")*(TRIM(K128:M128)&lt;&gt;"")*(ISTEXT(K128:M128)))</f>
        <v>3</v>
      </c>
      <c r="O128" t="s">
        <v>533</v>
      </c>
      <c r="P128" t="str" cm="1">
        <f t="array" ref="P128">IFERROR(INDEX('Cuisine Mapping'!$B$2:$B$71, MATCH(TRUE, ISNUMBER(SEARCH('Cuisine Mapping'!$A$2:$A$71,foodpanda_orders!$O128)),0)),"Others")</f>
        <v>Kabab/Grill</v>
      </c>
      <c r="Q128">
        <v>0</v>
      </c>
    </row>
    <row r="129" spans="1:17" x14ac:dyDescent="0.3">
      <c r="A129">
        <v>128</v>
      </c>
      <c r="B129" t="s">
        <v>818</v>
      </c>
      <c r="C129" s="2">
        <v>45174</v>
      </c>
      <c r="D129" s="3">
        <v>0.80069444444444449</v>
      </c>
      <c r="E129" s="1" t="s">
        <v>12</v>
      </c>
      <c r="F129" s="1" t="s">
        <v>527</v>
      </c>
      <c r="G129" s="1">
        <v>2023</v>
      </c>
      <c r="H129" t="s">
        <v>18</v>
      </c>
      <c r="I129" t="s">
        <v>349</v>
      </c>
      <c r="J129">
        <v>386</v>
      </c>
      <c r="K129" t="s">
        <v>350</v>
      </c>
      <c r="L129" t="s">
        <v>21</v>
      </c>
      <c r="M129" t="s">
        <v>21</v>
      </c>
      <c r="N129" cm="1">
        <f t="array" ref="N129">SUMPRODUCT(--(TRIM(K129:M129)&lt;&gt;"-")*(TRIM(K129:M129)&lt;&gt;"")*(ISTEXT(K129:M129)))</f>
        <v>1</v>
      </c>
      <c r="O129" t="s">
        <v>633</v>
      </c>
      <c r="P129" t="str" cm="1">
        <f t="array" ref="P129">IFERROR(INDEX('Cuisine Mapping'!$B$2:$B$71, MATCH(TRUE, ISNUMBER(SEARCH('Cuisine Mapping'!$A$2:$A$71,foodpanda_orders!$O129)),0)),"Others")</f>
        <v>American/Fast Food</v>
      </c>
      <c r="Q129">
        <v>0</v>
      </c>
    </row>
    <row r="130" spans="1:17" x14ac:dyDescent="0.3">
      <c r="A130">
        <v>129</v>
      </c>
      <c r="B130" t="s">
        <v>849</v>
      </c>
      <c r="C130" s="2">
        <v>45129</v>
      </c>
      <c r="D130" s="3">
        <v>0.68888888888888888</v>
      </c>
      <c r="E130" s="1" t="s">
        <v>51</v>
      </c>
      <c r="F130" s="1" t="s">
        <v>529</v>
      </c>
      <c r="G130" s="1">
        <v>2023</v>
      </c>
      <c r="H130" t="s">
        <v>18</v>
      </c>
      <c r="I130" t="s">
        <v>351</v>
      </c>
      <c r="J130">
        <v>379</v>
      </c>
      <c r="K130" t="s">
        <v>352</v>
      </c>
      <c r="L130" t="s">
        <v>21</v>
      </c>
      <c r="M130" t="s">
        <v>21</v>
      </c>
      <c r="N130" cm="1">
        <f t="array" ref="N130">SUMPRODUCT(--(TRIM(K130:M130)&lt;&gt;"-")*(TRIM(K130:M130)&lt;&gt;"")*(ISTEXT(K130:M130)))</f>
        <v>1</v>
      </c>
      <c r="O130" t="s">
        <v>640</v>
      </c>
      <c r="P130" t="str" cm="1">
        <f t="array" ref="P130">IFERROR(INDEX('Cuisine Mapping'!$B$2:$B$71, MATCH(TRUE, ISNUMBER(SEARCH('Cuisine Mapping'!$A$2:$A$71,foodpanda_orders!$O130)),0)),"Others")</f>
        <v>Italian/Pizza</v>
      </c>
      <c r="Q130">
        <v>0</v>
      </c>
    </row>
    <row r="131" spans="1:17" x14ac:dyDescent="0.3">
      <c r="A131">
        <v>130</v>
      </c>
      <c r="B131" t="s">
        <v>791</v>
      </c>
      <c r="C131" s="2">
        <v>45120</v>
      </c>
      <c r="D131" s="3">
        <v>0.53263888888888888</v>
      </c>
      <c r="E131" s="1" t="s">
        <v>46</v>
      </c>
      <c r="F131" s="1" t="s">
        <v>529</v>
      </c>
      <c r="G131" s="1">
        <v>2023</v>
      </c>
      <c r="H131" t="s">
        <v>18</v>
      </c>
      <c r="I131" t="s">
        <v>353</v>
      </c>
      <c r="J131">
        <v>412</v>
      </c>
      <c r="K131" t="s">
        <v>354</v>
      </c>
      <c r="L131" t="s">
        <v>355</v>
      </c>
      <c r="M131" t="s">
        <v>356</v>
      </c>
      <c r="N131" cm="1">
        <f t="array" ref="N131">SUMPRODUCT(--(TRIM(K131:M131)&lt;&gt;"-")*(TRIM(K131:M131)&lt;&gt;"")*(ISTEXT(K131:M131)))</f>
        <v>3</v>
      </c>
      <c r="O131" t="s">
        <v>641</v>
      </c>
      <c r="P131" t="str" cm="1">
        <f t="array" ref="P131">IFERROR(INDEX('Cuisine Mapping'!$B$2:$B$71, MATCH(TRUE, ISNUMBER(SEARCH('Cuisine Mapping'!$A$2:$A$71,foodpanda_orders!$O131)),0)),"Others")</f>
        <v>American/Fast Food</v>
      </c>
      <c r="Q131">
        <v>0</v>
      </c>
    </row>
    <row r="132" spans="1:17" x14ac:dyDescent="0.3">
      <c r="A132">
        <v>131</v>
      </c>
      <c r="B132" t="s">
        <v>818</v>
      </c>
      <c r="C132" s="2">
        <v>45118</v>
      </c>
      <c r="D132" s="3">
        <v>0.52916666666666667</v>
      </c>
      <c r="E132" s="1" t="s">
        <v>12</v>
      </c>
      <c r="F132" s="1" t="s">
        <v>529</v>
      </c>
      <c r="G132" s="1">
        <v>2023</v>
      </c>
      <c r="H132" t="s">
        <v>18</v>
      </c>
      <c r="I132" t="s">
        <v>357</v>
      </c>
      <c r="J132">
        <v>353</v>
      </c>
      <c r="K132" t="s">
        <v>350</v>
      </c>
      <c r="L132" t="s">
        <v>21</v>
      </c>
      <c r="M132" t="s">
        <v>21</v>
      </c>
      <c r="N132" cm="1">
        <f t="array" ref="N132">SUMPRODUCT(--(TRIM(K132:M132)&lt;&gt;"-")*(TRIM(K132:M132)&lt;&gt;"")*(ISTEXT(K132:M132)))</f>
        <v>1</v>
      </c>
      <c r="O132" t="s">
        <v>633</v>
      </c>
      <c r="P132" t="str" cm="1">
        <f t="array" ref="P132">IFERROR(INDEX('Cuisine Mapping'!$B$2:$B$71, MATCH(TRUE, ISNUMBER(SEARCH('Cuisine Mapping'!$A$2:$A$71,foodpanda_orders!$O132)),0)),"Others")</f>
        <v>American/Fast Food</v>
      </c>
      <c r="Q132">
        <v>0</v>
      </c>
    </row>
    <row r="133" spans="1:17" x14ac:dyDescent="0.3">
      <c r="A133">
        <v>132</v>
      </c>
      <c r="B133" t="s">
        <v>809</v>
      </c>
      <c r="C133" s="2">
        <v>45072</v>
      </c>
      <c r="D133" s="3">
        <v>0.60486111111111107</v>
      </c>
      <c r="E133" s="1" t="s">
        <v>31</v>
      </c>
      <c r="F133" s="1" t="s">
        <v>519</v>
      </c>
      <c r="G133" s="1">
        <v>2023</v>
      </c>
      <c r="H133" t="s">
        <v>18</v>
      </c>
      <c r="I133" t="s">
        <v>358</v>
      </c>
      <c r="J133">
        <v>411</v>
      </c>
      <c r="K133" t="s">
        <v>240</v>
      </c>
      <c r="L133" t="s">
        <v>269</v>
      </c>
      <c r="M133" t="s">
        <v>21</v>
      </c>
      <c r="N133" cm="1">
        <f t="array" ref="N133">SUMPRODUCT(--(TRIM(K133:M133)&lt;&gt;"-")*(TRIM(K133:M133)&lt;&gt;"")*(ISTEXT(K133:M133)))</f>
        <v>2</v>
      </c>
      <c r="O133" t="s">
        <v>608</v>
      </c>
      <c r="P133" t="str" cm="1">
        <f t="array" ref="P133">IFERROR(INDEX('Cuisine Mapping'!$B$2:$B$71, MATCH(TRUE, ISNUMBER(SEARCH('Cuisine Mapping'!$A$2:$A$71,foodpanda_orders!$O133)),0)),"Others")</f>
        <v>American/Fast Food</v>
      </c>
      <c r="Q133">
        <v>0</v>
      </c>
    </row>
    <row r="134" spans="1:17" x14ac:dyDescent="0.3">
      <c r="A134">
        <v>133</v>
      </c>
      <c r="B134" t="s">
        <v>828</v>
      </c>
      <c r="C134" s="2">
        <v>45054</v>
      </c>
      <c r="D134" s="3">
        <v>0.84236111111111112</v>
      </c>
      <c r="E134" s="1" t="s">
        <v>36</v>
      </c>
      <c r="F134" s="1" t="s">
        <v>519</v>
      </c>
      <c r="G134" s="1">
        <v>2023</v>
      </c>
      <c r="H134" t="s">
        <v>18</v>
      </c>
      <c r="I134" t="s">
        <v>359</v>
      </c>
      <c r="J134">
        <v>463</v>
      </c>
      <c r="K134" t="s">
        <v>216</v>
      </c>
      <c r="L134" t="s">
        <v>360</v>
      </c>
      <c r="M134" t="s">
        <v>21</v>
      </c>
      <c r="N134" cm="1">
        <f t="array" ref="N134">SUMPRODUCT(--(TRIM(K134:M134)&lt;&gt;"-")*(TRIM(K134:M134)&lt;&gt;"")*(ISTEXT(K134:M134)))</f>
        <v>2</v>
      </c>
      <c r="O134" t="s">
        <v>642</v>
      </c>
      <c r="P134" t="str" cm="1">
        <f t="array" ref="P134">IFERROR(INDEX('Cuisine Mapping'!$B$2:$B$71, MATCH(TRUE, ISNUMBER(SEARCH('Cuisine Mapping'!$A$2:$A$71,foodpanda_orders!$O134)),0)),"Others")</f>
        <v>American/Fast Food</v>
      </c>
      <c r="Q134">
        <v>0</v>
      </c>
    </row>
    <row r="135" spans="1:17" x14ac:dyDescent="0.3">
      <c r="A135">
        <v>134</v>
      </c>
      <c r="B135" t="s">
        <v>813</v>
      </c>
      <c r="C135" s="2">
        <v>45030</v>
      </c>
      <c r="D135" s="3">
        <v>0.73541666666666672</v>
      </c>
      <c r="E135" s="1" t="s">
        <v>31</v>
      </c>
      <c r="F135" s="1" t="s">
        <v>520</v>
      </c>
      <c r="G135" s="1">
        <v>2023</v>
      </c>
      <c r="H135" t="s">
        <v>18</v>
      </c>
      <c r="I135" t="s">
        <v>361</v>
      </c>
      <c r="J135">
        <v>337</v>
      </c>
      <c r="K135" t="s">
        <v>148</v>
      </c>
      <c r="L135" t="s">
        <v>362</v>
      </c>
      <c r="M135" t="s">
        <v>21</v>
      </c>
      <c r="N135" cm="1">
        <f t="array" ref="N135">SUMPRODUCT(--(TRIM(K135:M135)&lt;&gt;"-")*(TRIM(K135:M135)&lt;&gt;"")*(ISTEXT(K135:M135)))</f>
        <v>2</v>
      </c>
      <c r="O135" t="s">
        <v>576</v>
      </c>
      <c r="P135" t="str" cm="1">
        <f t="array" ref="P135">IFERROR(INDEX('Cuisine Mapping'!$B$2:$B$71, MATCH(TRUE, ISNUMBER(SEARCH('Cuisine Mapping'!$A$2:$A$71,foodpanda_orders!$O135)),0)),"Others")</f>
        <v>American/Fast Food</v>
      </c>
      <c r="Q135">
        <v>0</v>
      </c>
    </row>
    <row r="136" spans="1:17" x14ac:dyDescent="0.3">
      <c r="A136">
        <v>135</v>
      </c>
      <c r="B136" t="s">
        <v>845</v>
      </c>
      <c r="C136" s="2">
        <v>45026</v>
      </c>
      <c r="D136" s="3">
        <v>0.89375000000000004</v>
      </c>
      <c r="E136" s="1" t="s">
        <v>36</v>
      </c>
      <c r="F136" s="1" t="s">
        <v>520</v>
      </c>
      <c r="G136" s="1">
        <v>2023</v>
      </c>
      <c r="H136" t="s">
        <v>18</v>
      </c>
      <c r="I136" t="s">
        <v>363</v>
      </c>
      <c r="J136">
        <v>273</v>
      </c>
      <c r="K136" t="s">
        <v>364</v>
      </c>
      <c r="L136" t="s">
        <v>21</v>
      </c>
      <c r="M136" t="s">
        <v>21</v>
      </c>
      <c r="N136" cm="1">
        <f t="array" ref="N136">SUMPRODUCT(--(TRIM(K136:M136)&lt;&gt;"-")*(TRIM(K136:M136)&lt;&gt;"")*(ISTEXT(K136:M136)))</f>
        <v>1</v>
      </c>
      <c r="O136" t="s">
        <v>643</v>
      </c>
      <c r="P136" t="s">
        <v>748</v>
      </c>
      <c r="Q136">
        <v>0</v>
      </c>
    </row>
    <row r="137" spans="1:17" x14ac:dyDescent="0.3">
      <c r="A137">
        <v>136</v>
      </c>
      <c r="B137" t="s">
        <v>848</v>
      </c>
      <c r="C137" s="2">
        <v>45011</v>
      </c>
      <c r="D137" s="3">
        <v>0.75555555555555554</v>
      </c>
      <c r="E137" s="1" t="s">
        <v>17</v>
      </c>
      <c r="F137" s="1" t="s">
        <v>521</v>
      </c>
      <c r="G137" s="1">
        <v>2023</v>
      </c>
      <c r="H137" t="s">
        <v>18</v>
      </c>
      <c r="I137" t="s">
        <v>365</v>
      </c>
      <c r="J137">
        <v>913</v>
      </c>
      <c r="K137" t="s">
        <v>366</v>
      </c>
      <c r="L137" t="s">
        <v>367</v>
      </c>
      <c r="M137" t="s">
        <v>368</v>
      </c>
      <c r="N137" cm="1">
        <f t="array" ref="N137">SUMPRODUCT(--(TRIM(K137:M137)&lt;&gt;"-")*(TRIM(K137:M137)&lt;&gt;"")*(ISTEXT(K137:M137)))</f>
        <v>3</v>
      </c>
      <c r="O137" t="s">
        <v>644</v>
      </c>
      <c r="P137" t="s">
        <v>748</v>
      </c>
      <c r="Q137">
        <v>0</v>
      </c>
    </row>
    <row r="138" spans="1:17" x14ac:dyDescent="0.3">
      <c r="A138">
        <v>137</v>
      </c>
      <c r="B138" t="s">
        <v>828</v>
      </c>
      <c r="C138" s="2">
        <v>44998</v>
      </c>
      <c r="D138" s="3">
        <v>0.625</v>
      </c>
      <c r="E138" s="1" t="s">
        <v>36</v>
      </c>
      <c r="F138" s="1" t="s">
        <v>521</v>
      </c>
      <c r="G138" s="1">
        <v>2023</v>
      </c>
      <c r="H138" t="s">
        <v>18</v>
      </c>
      <c r="I138" t="s">
        <v>369</v>
      </c>
      <c r="J138">
        <v>224</v>
      </c>
      <c r="K138" t="s">
        <v>370</v>
      </c>
      <c r="L138" t="s">
        <v>21</v>
      </c>
      <c r="M138" t="s">
        <v>21</v>
      </c>
      <c r="N138" cm="1">
        <f t="array" ref="N138">SUMPRODUCT(--(TRIM(K138:M138)&lt;&gt;"-")*(TRIM(K138:M138)&lt;&gt;"")*(ISTEXT(K138:M138)))</f>
        <v>1</v>
      </c>
      <c r="O138" t="s">
        <v>645</v>
      </c>
      <c r="P138" t="str" cm="1">
        <f t="array" ref="P138">IFERROR(INDEX('Cuisine Mapping'!$B$2:$B$71, MATCH(TRUE, ISNUMBER(SEARCH('Cuisine Mapping'!$A$2:$A$71,foodpanda_orders!$O138)),0)),"Others")</f>
        <v>Wraps/Rolls</v>
      </c>
      <c r="Q138">
        <v>0</v>
      </c>
    </row>
    <row r="139" spans="1:17" x14ac:dyDescent="0.3">
      <c r="A139">
        <v>138</v>
      </c>
      <c r="B139" t="s">
        <v>828</v>
      </c>
      <c r="C139" s="2">
        <v>44989</v>
      </c>
      <c r="D139" s="3">
        <v>0.59722222222222221</v>
      </c>
      <c r="E139" s="1" t="s">
        <v>51</v>
      </c>
      <c r="F139" s="1" t="s">
        <v>521</v>
      </c>
      <c r="G139" s="1">
        <v>2023</v>
      </c>
      <c r="H139" t="s">
        <v>18</v>
      </c>
      <c r="I139" t="s">
        <v>371</v>
      </c>
      <c r="J139">
        <v>249</v>
      </c>
      <c r="K139" t="s">
        <v>372</v>
      </c>
      <c r="L139" t="s">
        <v>21</v>
      </c>
      <c r="M139" t="s">
        <v>21</v>
      </c>
      <c r="N139" cm="1">
        <f t="array" ref="N139">SUMPRODUCT(--(TRIM(K139:M139)&lt;&gt;"-")*(TRIM(K139:M139)&lt;&gt;"")*(ISTEXT(K139:M139)))</f>
        <v>1</v>
      </c>
      <c r="O139" t="s">
        <v>599</v>
      </c>
      <c r="P139" t="s">
        <v>748</v>
      </c>
      <c r="Q139">
        <v>0</v>
      </c>
    </row>
    <row r="140" spans="1:17" x14ac:dyDescent="0.3">
      <c r="A140">
        <v>139</v>
      </c>
      <c r="B140" t="s">
        <v>836</v>
      </c>
      <c r="C140" s="2">
        <v>44963</v>
      </c>
      <c r="D140" s="3">
        <v>0.61944444444444446</v>
      </c>
      <c r="E140" s="1" t="s">
        <v>36</v>
      </c>
      <c r="F140" s="1" t="s">
        <v>522</v>
      </c>
      <c r="G140" s="1">
        <v>2023</v>
      </c>
      <c r="H140" t="s">
        <v>18</v>
      </c>
      <c r="I140" t="s">
        <v>373</v>
      </c>
      <c r="J140">
        <v>285</v>
      </c>
      <c r="K140" t="s">
        <v>374</v>
      </c>
      <c r="L140" t="s">
        <v>21</v>
      </c>
      <c r="M140" t="s">
        <v>21</v>
      </c>
      <c r="N140" cm="1">
        <f t="array" ref="N140">SUMPRODUCT(--(TRIM(K140:M140)&lt;&gt;"-")*(TRIM(K140:M140)&lt;&gt;"")*(ISTEXT(K140:M140)))</f>
        <v>1</v>
      </c>
      <c r="O140" t="s">
        <v>646</v>
      </c>
      <c r="P140" t="str" cm="1">
        <f t="array" ref="P140">IFERROR(INDEX('Cuisine Mapping'!$B$2:$B$71, MATCH(TRUE, ISNUMBER(SEARCH('Cuisine Mapping'!$A$2:$A$71,foodpanda_orders!$O140)),0)),"Others")</f>
        <v>American/Fast Food</v>
      </c>
      <c r="Q140">
        <v>0</v>
      </c>
    </row>
    <row r="141" spans="1:17" x14ac:dyDescent="0.3">
      <c r="A141">
        <v>140</v>
      </c>
      <c r="B141" t="s">
        <v>850</v>
      </c>
      <c r="C141" s="2">
        <v>44937</v>
      </c>
      <c r="D141" s="3">
        <v>0.7680555555555556</v>
      </c>
      <c r="E141" s="1" t="s">
        <v>23</v>
      </c>
      <c r="F141" s="1" t="s">
        <v>523</v>
      </c>
      <c r="G141" s="1">
        <v>2023</v>
      </c>
      <c r="H141" t="s">
        <v>18</v>
      </c>
      <c r="I141" t="s">
        <v>375</v>
      </c>
      <c r="J141">
        <v>384</v>
      </c>
      <c r="K141" t="s">
        <v>376</v>
      </c>
      <c r="L141" t="s">
        <v>21</v>
      </c>
      <c r="M141" t="s">
        <v>21</v>
      </c>
      <c r="N141" cm="1">
        <f t="array" ref="N141">SUMPRODUCT(--(TRIM(K141:M141)&lt;&gt;"-")*(TRIM(K141:M141)&lt;&gt;"")*(ISTEXT(K141:M141)))</f>
        <v>1</v>
      </c>
      <c r="O141" t="s">
        <v>647</v>
      </c>
      <c r="P141" t="str" cm="1">
        <f t="array" ref="P141">IFERROR(INDEX('Cuisine Mapping'!$B$2:$B$71, MATCH(TRUE, ISNUMBER(SEARCH('Cuisine Mapping'!$A$2:$A$71,foodpanda_orders!$O141)),0)),"Others")</f>
        <v>Italian/Pizza</v>
      </c>
      <c r="Q141">
        <v>0</v>
      </c>
    </row>
    <row r="142" spans="1:17" x14ac:dyDescent="0.3">
      <c r="A142">
        <v>141</v>
      </c>
      <c r="B142" t="s">
        <v>781</v>
      </c>
      <c r="C142" s="2">
        <v>44928</v>
      </c>
      <c r="D142" s="3">
        <v>0.73402777777777772</v>
      </c>
      <c r="E142" s="1" t="s">
        <v>36</v>
      </c>
      <c r="F142" s="1" t="s">
        <v>523</v>
      </c>
      <c r="G142" s="1">
        <v>2023</v>
      </c>
      <c r="H142" t="s">
        <v>18</v>
      </c>
      <c r="I142" t="s">
        <v>377</v>
      </c>
      <c r="J142">
        <v>293</v>
      </c>
      <c r="K142" t="s">
        <v>35</v>
      </c>
      <c r="L142" t="s">
        <v>21</v>
      </c>
      <c r="M142" t="s">
        <v>21</v>
      </c>
      <c r="N142" cm="1">
        <f t="array" ref="N142">SUMPRODUCT(--(TRIM(K142:M142)&lt;&gt;"-")*(TRIM(K142:M142)&lt;&gt;"")*(ISTEXT(K142:M142)))</f>
        <v>1</v>
      </c>
      <c r="O142" t="s">
        <v>538</v>
      </c>
      <c r="P142" t="str" cm="1">
        <f t="array" ref="P142">IFERROR(INDEX('Cuisine Mapping'!$B$2:$B$71, MATCH(TRUE, ISNUMBER(SEARCH('Cuisine Mapping'!$A$2:$A$71,foodpanda_orders!$O142)),0)),"Others")</f>
        <v>Bengali/Desi</v>
      </c>
      <c r="Q142">
        <v>0</v>
      </c>
    </row>
    <row r="143" spans="1:17" x14ac:dyDescent="0.3">
      <c r="A143">
        <v>142</v>
      </c>
      <c r="B143" t="s">
        <v>851</v>
      </c>
      <c r="C143" s="2">
        <v>44923</v>
      </c>
      <c r="D143" s="3">
        <v>0.65277777777777779</v>
      </c>
      <c r="E143" s="1" t="s">
        <v>23</v>
      </c>
      <c r="F143" s="1" t="s">
        <v>524</v>
      </c>
      <c r="G143" s="1">
        <v>2022</v>
      </c>
      <c r="H143" t="s">
        <v>18</v>
      </c>
      <c r="I143" t="s">
        <v>378</v>
      </c>
      <c r="J143">
        <v>505</v>
      </c>
      <c r="K143" t="s">
        <v>379</v>
      </c>
      <c r="L143" t="s">
        <v>380</v>
      </c>
      <c r="M143" t="s">
        <v>21</v>
      </c>
      <c r="N143" cm="1">
        <f t="array" ref="N143">SUMPRODUCT(--(TRIM(K143:M143)&lt;&gt;"-")*(TRIM(K143:M143)&lt;&gt;"")*(ISTEXT(K143:M143)))</f>
        <v>2</v>
      </c>
      <c r="O143" t="s">
        <v>648</v>
      </c>
      <c r="P143" t="str" cm="1">
        <f t="array" ref="P143">IFERROR(INDEX('Cuisine Mapping'!$B$2:$B$71, MATCH(TRUE, ISNUMBER(SEARCH('Cuisine Mapping'!$A$2:$A$71,foodpanda_orders!$O143)),0)),"Others")</f>
        <v>Italian/Pizza</v>
      </c>
      <c r="Q143">
        <v>0</v>
      </c>
    </row>
    <row r="144" spans="1:17" x14ac:dyDescent="0.3">
      <c r="A144">
        <v>143</v>
      </c>
      <c r="B144" t="s">
        <v>852</v>
      </c>
      <c r="C144" s="2">
        <v>44921</v>
      </c>
      <c r="D144" s="3">
        <v>0.79236111111111107</v>
      </c>
      <c r="E144" s="1" t="s">
        <v>36</v>
      </c>
      <c r="F144" s="1" t="s">
        <v>524</v>
      </c>
      <c r="G144" s="1">
        <v>2022</v>
      </c>
      <c r="H144" t="s">
        <v>18</v>
      </c>
      <c r="I144" t="s">
        <v>381</v>
      </c>
      <c r="J144">
        <v>303</v>
      </c>
      <c r="K144" t="s">
        <v>382</v>
      </c>
      <c r="L144" t="s">
        <v>21</v>
      </c>
      <c r="M144" t="s">
        <v>21</v>
      </c>
      <c r="N144" cm="1">
        <f t="array" ref="N144">SUMPRODUCT(--(TRIM(K144:M144)&lt;&gt;"-")*(TRIM(K144:M144)&lt;&gt;"")*(ISTEXT(K144:M144)))</f>
        <v>1</v>
      </c>
      <c r="O144" t="s">
        <v>649</v>
      </c>
      <c r="P144" t="str" cm="1">
        <f t="array" ref="P144">IFERROR(INDEX('Cuisine Mapping'!$B$2:$B$71, MATCH(TRUE, ISNUMBER(SEARCH('Cuisine Mapping'!$A$2:$A$71,foodpanda_orders!$O144)),0)),"Others")</f>
        <v>Bengali/Desi</v>
      </c>
      <c r="Q144">
        <v>0</v>
      </c>
    </row>
    <row r="145" spans="1:17" x14ac:dyDescent="0.3">
      <c r="A145">
        <v>144</v>
      </c>
      <c r="B145" t="s">
        <v>853</v>
      </c>
      <c r="C145" s="2">
        <v>44913</v>
      </c>
      <c r="D145" s="3">
        <v>0.85277777777777775</v>
      </c>
      <c r="E145" s="1" t="s">
        <v>17</v>
      </c>
      <c r="F145" s="1" t="s">
        <v>524</v>
      </c>
      <c r="G145" s="1">
        <v>2022</v>
      </c>
      <c r="H145" t="s">
        <v>18</v>
      </c>
      <c r="I145" t="s">
        <v>383</v>
      </c>
      <c r="J145">
        <v>326</v>
      </c>
      <c r="K145" t="s">
        <v>384</v>
      </c>
      <c r="L145" t="s">
        <v>385</v>
      </c>
      <c r="M145" t="s">
        <v>21</v>
      </c>
      <c r="N145" cm="1">
        <f t="array" ref="N145">SUMPRODUCT(--(TRIM(K145:M145)&lt;&gt;"-")*(TRIM(K145:M145)&lt;&gt;"")*(ISTEXT(K145:M145)))</f>
        <v>2</v>
      </c>
      <c r="O145" t="s">
        <v>650</v>
      </c>
      <c r="P145" t="str" cm="1">
        <f t="array" ref="P145">IFERROR(INDEX('Cuisine Mapping'!$B$2:$B$71, MATCH(TRUE, ISNUMBER(SEARCH('Cuisine Mapping'!$A$2:$A$71,foodpanda_orders!$O145)),0)),"Others")</f>
        <v>Kabab/Grill</v>
      </c>
      <c r="Q145">
        <v>0</v>
      </c>
    </row>
    <row r="146" spans="1:17" x14ac:dyDescent="0.3">
      <c r="A146">
        <v>145</v>
      </c>
      <c r="B146" t="s">
        <v>854</v>
      </c>
      <c r="C146" s="2">
        <v>44910</v>
      </c>
      <c r="D146" s="3">
        <v>0.61944444444444446</v>
      </c>
      <c r="E146" s="1" t="s">
        <v>46</v>
      </c>
      <c r="F146" s="1" t="s">
        <v>524</v>
      </c>
      <c r="G146" s="1">
        <v>2022</v>
      </c>
      <c r="H146" t="s">
        <v>18</v>
      </c>
      <c r="I146" t="s">
        <v>386</v>
      </c>
      <c r="J146">
        <v>241</v>
      </c>
      <c r="K146" t="s">
        <v>387</v>
      </c>
      <c r="L146" t="s">
        <v>388</v>
      </c>
      <c r="M146" t="s">
        <v>389</v>
      </c>
      <c r="N146" cm="1">
        <f t="array" ref="N146">SUMPRODUCT(--(TRIM(K146:M146)&lt;&gt;"-")*(TRIM(K146:M146)&lt;&gt;"")*(ISTEXT(K146:M146)))</f>
        <v>3</v>
      </c>
      <c r="O146" t="s">
        <v>651</v>
      </c>
      <c r="P146" t="str" cm="1">
        <f t="array" ref="P146">IFERROR(INDEX('Cuisine Mapping'!$B$2:$B$71, MATCH(TRUE, ISNUMBER(SEARCH('Cuisine Mapping'!$A$2:$A$71,foodpanda_orders!$O146)),0)),"Others")</f>
        <v>Bengali/Desi</v>
      </c>
      <c r="Q146">
        <v>0</v>
      </c>
    </row>
    <row r="147" spans="1:17" x14ac:dyDescent="0.3">
      <c r="A147">
        <v>146</v>
      </c>
      <c r="B147" t="s">
        <v>855</v>
      </c>
      <c r="C147" s="2">
        <v>44898</v>
      </c>
      <c r="D147" s="3">
        <v>0.56319444444444444</v>
      </c>
      <c r="E147" s="1" t="s">
        <v>51</v>
      </c>
      <c r="F147" s="1" t="s">
        <v>524</v>
      </c>
      <c r="G147" s="1">
        <v>2022</v>
      </c>
      <c r="H147" t="s">
        <v>18</v>
      </c>
      <c r="I147" t="s">
        <v>390</v>
      </c>
      <c r="J147">
        <v>457</v>
      </c>
      <c r="K147" t="s">
        <v>391</v>
      </c>
      <c r="L147" t="s">
        <v>21</v>
      </c>
      <c r="M147" t="s">
        <v>21</v>
      </c>
      <c r="N147" cm="1">
        <f t="array" ref="N147">SUMPRODUCT(--(TRIM(K147:M147)&lt;&gt;"-")*(TRIM(K147:M147)&lt;&gt;"")*(ISTEXT(K147:M147)))</f>
        <v>1</v>
      </c>
      <c r="O147" t="s">
        <v>652</v>
      </c>
      <c r="P147" t="str" cm="1">
        <f t="array" ref="P147">IFERROR(INDEX('Cuisine Mapping'!$B$2:$B$71, MATCH(TRUE, ISNUMBER(SEARCH('Cuisine Mapping'!$A$2:$A$71,foodpanda_orders!$O147)),0)),"Others")</f>
        <v>Bengali/Desi</v>
      </c>
      <c r="Q147">
        <v>0</v>
      </c>
    </row>
    <row r="148" spans="1:17" x14ac:dyDescent="0.3">
      <c r="A148">
        <v>147</v>
      </c>
      <c r="B148" t="s">
        <v>843</v>
      </c>
      <c r="C148" s="2">
        <v>44891</v>
      </c>
      <c r="D148" s="3">
        <v>0.8569444444444444</v>
      </c>
      <c r="E148" s="1" t="s">
        <v>51</v>
      </c>
      <c r="F148" s="1" t="s">
        <v>525</v>
      </c>
      <c r="G148" s="1">
        <v>2022</v>
      </c>
      <c r="H148" t="s">
        <v>18</v>
      </c>
      <c r="I148" t="s">
        <v>392</v>
      </c>
      <c r="J148">
        <v>372</v>
      </c>
      <c r="K148" t="s">
        <v>393</v>
      </c>
      <c r="L148" t="s">
        <v>21</v>
      </c>
      <c r="M148" t="s">
        <v>21</v>
      </c>
      <c r="N148" cm="1">
        <f t="array" ref="N148">SUMPRODUCT(--(TRIM(K148:M148)&lt;&gt;"-")*(TRIM(K148:M148)&lt;&gt;"")*(ISTEXT(K148:M148)))</f>
        <v>1</v>
      </c>
      <c r="O148" t="s">
        <v>653</v>
      </c>
      <c r="P148" t="str" cm="1">
        <f t="array" ref="P148">IFERROR(INDEX('Cuisine Mapping'!$B$2:$B$71, MATCH(TRUE, ISNUMBER(SEARCH('Cuisine Mapping'!$A$2:$A$71,foodpanda_orders!$O148)),0)),"Others")</f>
        <v>Italian/Pizza</v>
      </c>
      <c r="Q148">
        <v>0</v>
      </c>
    </row>
    <row r="149" spans="1:17" x14ac:dyDescent="0.3">
      <c r="A149">
        <v>148</v>
      </c>
      <c r="B149" t="s">
        <v>826</v>
      </c>
      <c r="C149" s="2">
        <v>44887</v>
      </c>
      <c r="D149" s="3">
        <v>0.56111111111111112</v>
      </c>
      <c r="E149" s="1" t="s">
        <v>12</v>
      </c>
      <c r="F149" s="1" t="s">
        <v>525</v>
      </c>
      <c r="G149" s="1">
        <v>2022</v>
      </c>
      <c r="H149" t="s">
        <v>18</v>
      </c>
      <c r="I149" t="s">
        <v>394</v>
      </c>
      <c r="J149">
        <v>385</v>
      </c>
      <c r="K149" t="s">
        <v>395</v>
      </c>
      <c r="L149" t="s">
        <v>207</v>
      </c>
      <c r="M149" t="s">
        <v>21</v>
      </c>
      <c r="N149" cm="1">
        <f t="array" ref="N149">SUMPRODUCT(--(TRIM(K149:M149)&lt;&gt;"-")*(TRIM(K149:M149)&lt;&gt;"")*(ISTEXT(K149:M149)))</f>
        <v>2</v>
      </c>
      <c r="O149" t="s">
        <v>654</v>
      </c>
      <c r="P149" t="str" cm="1">
        <f t="array" ref="P149">IFERROR(INDEX('Cuisine Mapping'!$B$2:$B$71, MATCH(TRUE, ISNUMBER(SEARCH('Cuisine Mapping'!$A$2:$A$71,foodpanda_orders!$O149)),0)),"Others")</f>
        <v>Bengali/Desi</v>
      </c>
      <c r="Q149">
        <v>0</v>
      </c>
    </row>
    <row r="150" spans="1:17" x14ac:dyDescent="0.3">
      <c r="A150">
        <v>149</v>
      </c>
      <c r="B150" t="s">
        <v>849</v>
      </c>
      <c r="C150" s="2">
        <v>44880</v>
      </c>
      <c r="D150" s="3">
        <v>0.73055555555555551</v>
      </c>
      <c r="E150" s="1" t="s">
        <v>12</v>
      </c>
      <c r="F150" s="1" t="s">
        <v>525</v>
      </c>
      <c r="G150" s="1">
        <v>2022</v>
      </c>
      <c r="H150" t="s">
        <v>13</v>
      </c>
      <c r="I150" t="s">
        <v>396</v>
      </c>
      <c r="J150">
        <v>302</v>
      </c>
      <c r="K150" t="s">
        <v>397</v>
      </c>
      <c r="L150" t="s">
        <v>21</v>
      </c>
      <c r="M150" t="s">
        <v>21</v>
      </c>
      <c r="N150" cm="1">
        <f t="array" ref="N150">SUMPRODUCT(--(TRIM(K150:M150)&lt;&gt;"-")*(TRIM(K150:M150)&lt;&gt;"")*(ISTEXT(K150:M150)))</f>
        <v>1</v>
      </c>
      <c r="O150" t="s">
        <v>655</v>
      </c>
      <c r="P150" t="str" cm="1">
        <f t="array" ref="P150">IFERROR(INDEX('Cuisine Mapping'!$B$2:$B$71, MATCH(TRUE, ISNUMBER(SEARCH('Cuisine Mapping'!$A$2:$A$71,foodpanda_orders!$O150)),0)),"Others")</f>
        <v>Italian/Pizza</v>
      </c>
      <c r="Q150">
        <v>0</v>
      </c>
    </row>
    <row r="151" spans="1:17" x14ac:dyDescent="0.3">
      <c r="A151">
        <v>150</v>
      </c>
      <c r="B151" t="s">
        <v>856</v>
      </c>
      <c r="C151" s="2">
        <v>44866</v>
      </c>
      <c r="D151" s="3">
        <v>0.47013888888888888</v>
      </c>
      <c r="E151" s="1" t="s">
        <v>12</v>
      </c>
      <c r="F151" s="1" t="s">
        <v>525</v>
      </c>
      <c r="G151" s="1">
        <v>2022</v>
      </c>
      <c r="H151" t="s">
        <v>18</v>
      </c>
      <c r="I151" t="s">
        <v>398</v>
      </c>
      <c r="J151">
        <v>377</v>
      </c>
      <c r="K151" t="s">
        <v>399</v>
      </c>
      <c r="L151" t="s">
        <v>21</v>
      </c>
      <c r="M151" t="s">
        <v>21</v>
      </c>
      <c r="N151" cm="1">
        <f t="array" ref="N151">SUMPRODUCT(--(TRIM(K151:M151)&lt;&gt;"-")*(TRIM(K151:M151)&lt;&gt;"")*(ISTEXT(K151:M151)))</f>
        <v>1</v>
      </c>
      <c r="O151" t="s">
        <v>656</v>
      </c>
      <c r="P151" t="str" cm="1">
        <f t="array" ref="P151">IFERROR(INDEX('Cuisine Mapping'!$B$2:$B$71, MATCH(TRUE, ISNUMBER(SEARCH('Cuisine Mapping'!$A$2:$A$71,foodpanda_orders!$O151)),0)),"Others")</f>
        <v>Italian/Pizza</v>
      </c>
      <c r="Q151">
        <v>0</v>
      </c>
    </row>
    <row r="152" spans="1:17" x14ac:dyDescent="0.3">
      <c r="A152">
        <v>151</v>
      </c>
      <c r="B152" t="s">
        <v>857</v>
      </c>
      <c r="C152" s="2">
        <v>44866</v>
      </c>
      <c r="D152" s="3">
        <v>0.46875</v>
      </c>
      <c r="E152" s="1" t="s">
        <v>12</v>
      </c>
      <c r="F152" s="1" t="s">
        <v>525</v>
      </c>
      <c r="G152" s="1">
        <v>2022</v>
      </c>
      <c r="H152" t="s">
        <v>22</v>
      </c>
      <c r="I152" t="s">
        <v>400</v>
      </c>
      <c r="J152">
        <v>317</v>
      </c>
      <c r="K152" t="s">
        <v>401</v>
      </c>
      <c r="L152" t="s">
        <v>401</v>
      </c>
      <c r="M152" t="s">
        <v>21</v>
      </c>
      <c r="N152" cm="1">
        <f t="array" ref="N152">SUMPRODUCT(--(TRIM(K152:M152)&lt;&gt;"-")*(TRIM(K152:M152)&lt;&gt;"")*(ISTEXT(K152:M152)))</f>
        <v>2</v>
      </c>
      <c r="O152" t="s">
        <v>657</v>
      </c>
      <c r="P152" t="str" cm="1">
        <f t="array" ref="P152">IFERROR(INDEX('Cuisine Mapping'!$B$2:$B$71, MATCH(TRUE, ISNUMBER(SEARCH('Cuisine Mapping'!$A$2:$A$71,foodpanda_orders!$O152)),0)),"Others")</f>
        <v>Italian/Pizza</v>
      </c>
      <c r="Q152">
        <v>0</v>
      </c>
    </row>
    <row r="153" spans="1:17" x14ac:dyDescent="0.3">
      <c r="A153">
        <v>152</v>
      </c>
      <c r="B153" t="s">
        <v>855</v>
      </c>
      <c r="C153" s="2">
        <v>44844</v>
      </c>
      <c r="D153" s="3">
        <v>0.90972222222222221</v>
      </c>
      <c r="E153" s="1" t="s">
        <v>36</v>
      </c>
      <c r="F153" s="1" t="s">
        <v>526</v>
      </c>
      <c r="G153" s="1">
        <v>2022</v>
      </c>
      <c r="H153" t="s">
        <v>18</v>
      </c>
      <c r="I153" t="s">
        <v>402</v>
      </c>
      <c r="J153">
        <v>248</v>
      </c>
      <c r="K153" t="s">
        <v>403</v>
      </c>
      <c r="L153" t="s">
        <v>21</v>
      </c>
      <c r="M153" t="s">
        <v>21</v>
      </c>
      <c r="N153" cm="1">
        <f t="array" ref="N153">SUMPRODUCT(--(TRIM(K153:M153)&lt;&gt;"-")*(TRIM(K153:M153)&lt;&gt;"")*(ISTEXT(K153:M153)))</f>
        <v>1</v>
      </c>
      <c r="O153" t="s">
        <v>652</v>
      </c>
      <c r="P153" t="str" cm="1">
        <f t="array" ref="P153">IFERROR(INDEX('Cuisine Mapping'!$B$2:$B$71, MATCH(TRUE, ISNUMBER(SEARCH('Cuisine Mapping'!$A$2:$A$71,foodpanda_orders!$O153)),0)),"Others")</f>
        <v>Bengali/Desi</v>
      </c>
      <c r="Q153">
        <v>0</v>
      </c>
    </row>
    <row r="154" spans="1:17" x14ac:dyDescent="0.3">
      <c r="A154">
        <v>153</v>
      </c>
      <c r="B154" t="s">
        <v>858</v>
      </c>
      <c r="C154" s="2">
        <v>44838</v>
      </c>
      <c r="D154" s="3">
        <v>0.91111111111111109</v>
      </c>
      <c r="E154" s="1" t="s">
        <v>12</v>
      </c>
      <c r="F154" s="1" t="s">
        <v>526</v>
      </c>
      <c r="G154" s="1">
        <v>2022</v>
      </c>
      <c r="H154" t="s">
        <v>18</v>
      </c>
      <c r="I154" t="s">
        <v>404</v>
      </c>
      <c r="J154">
        <v>205</v>
      </c>
      <c r="K154" t="s">
        <v>405</v>
      </c>
      <c r="L154" t="s">
        <v>21</v>
      </c>
      <c r="M154" t="s">
        <v>21</v>
      </c>
      <c r="N154" cm="1">
        <f t="array" ref="N154">SUMPRODUCT(--(TRIM(K154:M154)&lt;&gt;"-")*(TRIM(K154:M154)&lt;&gt;"")*(ISTEXT(K154:M154)))</f>
        <v>1</v>
      </c>
      <c r="O154" t="s">
        <v>658</v>
      </c>
      <c r="P154" t="s">
        <v>748</v>
      </c>
      <c r="Q154">
        <v>0</v>
      </c>
    </row>
    <row r="155" spans="1:17" x14ac:dyDescent="0.3">
      <c r="A155">
        <v>154</v>
      </c>
      <c r="B155" t="s">
        <v>784</v>
      </c>
      <c r="C155" s="2">
        <v>44815</v>
      </c>
      <c r="D155" s="3">
        <v>0.52847222222222223</v>
      </c>
      <c r="E155" s="1" t="s">
        <v>17</v>
      </c>
      <c r="F155" s="1" t="s">
        <v>527</v>
      </c>
      <c r="G155" s="1">
        <v>2022</v>
      </c>
      <c r="H155" t="s">
        <v>18</v>
      </c>
      <c r="I155" t="s">
        <v>406</v>
      </c>
      <c r="J155">
        <v>928</v>
      </c>
      <c r="K155" t="s">
        <v>407</v>
      </c>
      <c r="L155" t="s">
        <v>408</v>
      </c>
      <c r="M155" t="s">
        <v>409</v>
      </c>
      <c r="N155" cm="1">
        <f t="array" ref="N155">SUMPRODUCT(--(TRIM(K155:M155)&lt;&gt;"-")*(TRIM(K155:M155)&lt;&gt;"")*(ISTEXT(K155:M155)))</f>
        <v>3</v>
      </c>
      <c r="O155" t="s">
        <v>659</v>
      </c>
      <c r="P155" t="str" cm="1">
        <f t="array" ref="P155">IFERROR(INDEX('Cuisine Mapping'!$B$2:$B$71, MATCH(TRUE, ISNUMBER(SEARCH('Cuisine Mapping'!$A$2:$A$71,foodpanda_orders!$O155)),0)),"Others")</f>
        <v>Italian/Pizza</v>
      </c>
      <c r="Q155">
        <v>0</v>
      </c>
    </row>
    <row r="156" spans="1:17" x14ac:dyDescent="0.3">
      <c r="A156">
        <v>155</v>
      </c>
      <c r="B156" t="s">
        <v>826</v>
      </c>
      <c r="C156" s="2">
        <v>44767</v>
      </c>
      <c r="D156" s="3">
        <v>0.80763888888888891</v>
      </c>
      <c r="E156" s="1" t="s">
        <v>36</v>
      </c>
      <c r="F156" s="1" t="s">
        <v>529</v>
      </c>
      <c r="G156" s="1">
        <v>2022</v>
      </c>
      <c r="H156" t="s">
        <v>18</v>
      </c>
      <c r="I156" t="s">
        <v>410</v>
      </c>
      <c r="J156">
        <v>525</v>
      </c>
      <c r="K156" t="s">
        <v>411</v>
      </c>
      <c r="L156" t="s">
        <v>21</v>
      </c>
      <c r="M156" t="s">
        <v>21</v>
      </c>
      <c r="N156" cm="1">
        <f t="array" ref="N156">SUMPRODUCT(--(TRIM(K156:M156)&lt;&gt;"-")*(TRIM(K156:M156)&lt;&gt;"")*(ISTEXT(K156:M156)))</f>
        <v>1</v>
      </c>
      <c r="O156" t="s">
        <v>660</v>
      </c>
      <c r="P156" t="str" cm="1">
        <f t="array" ref="P156">IFERROR(INDEX('Cuisine Mapping'!$B$2:$B$71, MATCH(TRUE, ISNUMBER(SEARCH('Cuisine Mapping'!$A$2:$A$71,foodpanda_orders!$O156)),0)),"Others")</f>
        <v>Bengali/Desi</v>
      </c>
      <c r="Q156">
        <v>0</v>
      </c>
    </row>
    <row r="157" spans="1:17" x14ac:dyDescent="0.3">
      <c r="A157">
        <v>156</v>
      </c>
      <c r="B157" t="s">
        <v>845</v>
      </c>
      <c r="C157" s="2">
        <v>44765</v>
      </c>
      <c r="D157" s="3">
        <v>0.84652777777777777</v>
      </c>
      <c r="E157" s="1" t="s">
        <v>51</v>
      </c>
      <c r="F157" s="1" t="s">
        <v>529</v>
      </c>
      <c r="G157" s="1">
        <v>2022</v>
      </c>
      <c r="H157" t="s">
        <v>13</v>
      </c>
      <c r="I157" t="s">
        <v>412</v>
      </c>
      <c r="J157">
        <v>324</v>
      </c>
      <c r="K157" t="s">
        <v>413</v>
      </c>
      <c r="L157" t="s">
        <v>414</v>
      </c>
      <c r="M157" t="s">
        <v>21</v>
      </c>
      <c r="N157" cm="1">
        <f t="array" ref="N157">SUMPRODUCT(--(TRIM(K157:M157)&lt;&gt;"-")*(TRIM(K157:M157)&lt;&gt;"")*(ISTEXT(K157:M157)))</f>
        <v>2</v>
      </c>
      <c r="O157" t="s">
        <v>661</v>
      </c>
      <c r="P157" t="str" cm="1">
        <f t="array" ref="P157">IFERROR(INDEX('Cuisine Mapping'!$B$2:$B$71, MATCH(TRUE, ISNUMBER(SEARCH('Cuisine Mapping'!$A$2:$A$71,foodpanda_orders!$O157)),0)),"Others")</f>
        <v>American/Fast Food</v>
      </c>
      <c r="Q157">
        <v>0</v>
      </c>
    </row>
    <row r="158" spans="1:17" x14ac:dyDescent="0.3">
      <c r="A158">
        <v>157</v>
      </c>
      <c r="B158" t="s">
        <v>859</v>
      </c>
      <c r="C158" s="2">
        <v>44762</v>
      </c>
      <c r="D158" s="3">
        <v>0.89236111111111116</v>
      </c>
      <c r="E158" s="1" t="s">
        <v>23</v>
      </c>
      <c r="F158" s="1" t="s">
        <v>529</v>
      </c>
      <c r="G158" s="1">
        <v>2022</v>
      </c>
      <c r="H158" t="s">
        <v>13</v>
      </c>
      <c r="I158" t="s">
        <v>415</v>
      </c>
      <c r="J158">
        <v>259</v>
      </c>
      <c r="K158" t="s">
        <v>416</v>
      </c>
      <c r="L158" t="s">
        <v>21</v>
      </c>
      <c r="M158" t="s">
        <v>21</v>
      </c>
      <c r="N158" cm="1">
        <f t="array" ref="N158">SUMPRODUCT(--(TRIM(K158:M158)&lt;&gt;"-")*(TRIM(K158:M158)&lt;&gt;"")*(ISTEXT(K158:M158)))</f>
        <v>1</v>
      </c>
      <c r="O158" t="s">
        <v>662</v>
      </c>
      <c r="P158" t="str" cm="1">
        <f t="array" ref="P158">IFERROR(INDEX('Cuisine Mapping'!$B$2:$B$71, MATCH(TRUE, ISNUMBER(SEARCH('Cuisine Mapping'!$A$2:$A$71,foodpanda_orders!$O158)),0)),"Others")</f>
        <v>East Asian</v>
      </c>
      <c r="Q158">
        <v>0</v>
      </c>
    </row>
    <row r="159" spans="1:17" x14ac:dyDescent="0.3">
      <c r="A159">
        <v>158</v>
      </c>
      <c r="B159" t="s">
        <v>791</v>
      </c>
      <c r="C159" s="2">
        <v>44762</v>
      </c>
      <c r="D159" s="3">
        <v>0.60277777777777775</v>
      </c>
      <c r="E159" s="1" t="s">
        <v>23</v>
      </c>
      <c r="F159" s="1" t="s">
        <v>529</v>
      </c>
      <c r="G159" s="1">
        <v>2022</v>
      </c>
      <c r="H159" t="s">
        <v>22</v>
      </c>
      <c r="I159" t="s">
        <v>417</v>
      </c>
      <c r="J159">
        <v>355</v>
      </c>
      <c r="K159" t="s">
        <v>418</v>
      </c>
      <c r="L159" t="s">
        <v>418</v>
      </c>
      <c r="M159" t="s">
        <v>339</v>
      </c>
      <c r="N159" cm="1">
        <f t="array" ref="N159">SUMPRODUCT(--(TRIM(K159:M159)&lt;&gt;"-")*(TRIM(K159:M159)&lt;&gt;"")*(ISTEXT(K159:M159)))</f>
        <v>3</v>
      </c>
      <c r="O159" t="s">
        <v>663</v>
      </c>
      <c r="P159" t="str" cm="1">
        <f t="array" ref="P159">IFERROR(INDEX('Cuisine Mapping'!$B$2:$B$71, MATCH(TRUE, ISNUMBER(SEARCH('Cuisine Mapping'!$A$2:$A$71,foodpanda_orders!$O159)),0)),"Others")</f>
        <v>East Asian</v>
      </c>
      <c r="Q159">
        <v>0</v>
      </c>
    </row>
    <row r="160" spans="1:17" x14ac:dyDescent="0.3">
      <c r="A160">
        <v>159</v>
      </c>
      <c r="B160" t="s">
        <v>860</v>
      </c>
      <c r="C160" s="2">
        <v>44739</v>
      </c>
      <c r="D160" s="3">
        <v>0.57847222222222228</v>
      </c>
      <c r="E160" s="1" t="s">
        <v>36</v>
      </c>
      <c r="F160" s="1" t="s">
        <v>530</v>
      </c>
      <c r="G160" s="1">
        <v>2022</v>
      </c>
      <c r="H160" t="s">
        <v>18</v>
      </c>
      <c r="I160" t="s">
        <v>419</v>
      </c>
      <c r="J160">
        <v>563</v>
      </c>
      <c r="K160" t="s">
        <v>420</v>
      </c>
      <c r="L160" t="s">
        <v>421</v>
      </c>
      <c r="M160" t="s">
        <v>422</v>
      </c>
      <c r="N160" cm="1">
        <f t="array" ref="N160">SUMPRODUCT(--(TRIM(K160:M160)&lt;&gt;"-")*(TRIM(K160:M160)&lt;&gt;"")*(ISTEXT(K160:M160)))</f>
        <v>3</v>
      </c>
      <c r="O160" t="s">
        <v>664</v>
      </c>
      <c r="P160" t="str" cm="1">
        <f t="array" ref="P160">IFERROR(INDEX('Cuisine Mapping'!$B$2:$B$71, MATCH(TRUE, ISNUMBER(SEARCH('Cuisine Mapping'!$A$2:$A$71,foodpanda_orders!$O160)),0)),"Others")</f>
        <v>Italian/Pizza</v>
      </c>
      <c r="Q160">
        <v>0</v>
      </c>
    </row>
    <row r="161" spans="1:17" x14ac:dyDescent="0.3">
      <c r="A161">
        <v>160</v>
      </c>
      <c r="B161" t="s">
        <v>786</v>
      </c>
      <c r="C161" s="2">
        <v>44738</v>
      </c>
      <c r="D161" s="3">
        <v>0.65277777777777779</v>
      </c>
      <c r="E161" s="1" t="s">
        <v>17</v>
      </c>
      <c r="F161" s="1" t="s">
        <v>530</v>
      </c>
      <c r="G161" s="1">
        <v>2022</v>
      </c>
      <c r="H161" t="s">
        <v>18</v>
      </c>
      <c r="I161" t="s">
        <v>423</v>
      </c>
      <c r="J161">
        <v>264</v>
      </c>
      <c r="K161" t="s">
        <v>145</v>
      </c>
      <c r="L161" t="s">
        <v>424</v>
      </c>
      <c r="M161" t="s">
        <v>21</v>
      </c>
      <c r="N161" cm="1">
        <f t="array" ref="N161">SUMPRODUCT(--(TRIM(K161:M161)&lt;&gt;"-")*(TRIM(K161:M161)&lt;&gt;"")*(ISTEXT(K161:M161)))</f>
        <v>2</v>
      </c>
      <c r="O161" t="s">
        <v>575</v>
      </c>
      <c r="P161" t="str" cm="1">
        <f t="array" ref="P161">IFERROR(INDEX('Cuisine Mapping'!$B$2:$B$71, MATCH(TRUE, ISNUMBER(SEARCH('Cuisine Mapping'!$A$2:$A$71,foodpanda_orders!$O161)),0)),"Others")</f>
        <v>Rice Bowls</v>
      </c>
      <c r="Q161">
        <v>0</v>
      </c>
    </row>
    <row r="162" spans="1:17" x14ac:dyDescent="0.3">
      <c r="A162">
        <v>161</v>
      </c>
      <c r="B162" t="s">
        <v>849</v>
      </c>
      <c r="C162" s="2">
        <v>44729</v>
      </c>
      <c r="D162" s="3">
        <v>0.81666666666666665</v>
      </c>
      <c r="E162" s="1" t="s">
        <v>31</v>
      </c>
      <c r="F162" s="1" t="s">
        <v>530</v>
      </c>
      <c r="G162" s="1">
        <v>2022</v>
      </c>
      <c r="H162" t="s">
        <v>13</v>
      </c>
      <c r="I162" t="s">
        <v>425</v>
      </c>
      <c r="J162">
        <v>479</v>
      </c>
      <c r="K162" t="s">
        <v>426</v>
      </c>
      <c r="L162" t="s">
        <v>427</v>
      </c>
      <c r="M162" t="s">
        <v>21</v>
      </c>
      <c r="N162" cm="1">
        <f t="array" ref="N162">SUMPRODUCT(--(TRIM(K162:M162)&lt;&gt;"-")*(TRIM(K162:M162)&lt;&gt;"")*(ISTEXT(K162:M162)))</f>
        <v>2</v>
      </c>
      <c r="O162" t="s">
        <v>655</v>
      </c>
      <c r="P162" t="str" cm="1">
        <f t="array" ref="P162">IFERROR(INDEX('Cuisine Mapping'!$B$2:$B$71, MATCH(TRUE, ISNUMBER(SEARCH('Cuisine Mapping'!$A$2:$A$71,foodpanda_orders!$O162)),0)),"Others")</f>
        <v>Italian/Pizza</v>
      </c>
      <c r="Q162">
        <v>0</v>
      </c>
    </row>
    <row r="163" spans="1:17" x14ac:dyDescent="0.3">
      <c r="A163">
        <v>162</v>
      </c>
      <c r="B163" t="s">
        <v>861</v>
      </c>
      <c r="C163" s="2">
        <v>44723</v>
      </c>
      <c r="D163" s="3">
        <v>0.8569444444444444</v>
      </c>
      <c r="E163" s="1" t="s">
        <v>51</v>
      </c>
      <c r="F163" s="1" t="s">
        <v>530</v>
      </c>
      <c r="G163" s="1">
        <v>2022</v>
      </c>
      <c r="H163" t="s">
        <v>18</v>
      </c>
      <c r="I163" t="s">
        <v>428</v>
      </c>
      <c r="J163">
        <v>418</v>
      </c>
      <c r="K163" t="s">
        <v>429</v>
      </c>
      <c r="L163" t="s">
        <v>430</v>
      </c>
      <c r="M163" t="s">
        <v>21</v>
      </c>
      <c r="N163" cm="1">
        <f t="array" ref="N163">SUMPRODUCT(--(TRIM(K163:M163)&lt;&gt;"-")*(TRIM(K163:M163)&lt;&gt;"")*(ISTEXT(K163:M163)))</f>
        <v>2</v>
      </c>
      <c r="O163" t="s">
        <v>665</v>
      </c>
      <c r="P163" t="str" cm="1">
        <f t="array" ref="P163">IFERROR(INDEX('Cuisine Mapping'!$B$2:$B$71, MATCH(TRUE, ISNUMBER(SEARCH('Cuisine Mapping'!$A$2:$A$71,foodpanda_orders!$O163)),0)),"Others")</f>
        <v>Italian/Pizza</v>
      </c>
      <c r="Q163">
        <v>0</v>
      </c>
    </row>
    <row r="164" spans="1:17" x14ac:dyDescent="0.3">
      <c r="A164">
        <v>163</v>
      </c>
      <c r="B164" t="s">
        <v>809</v>
      </c>
      <c r="C164" s="2">
        <v>44721</v>
      </c>
      <c r="D164" s="3">
        <v>0.87986111111111109</v>
      </c>
      <c r="E164" s="1" t="s">
        <v>46</v>
      </c>
      <c r="F164" s="1" t="s">
        <v>530</v>
      </c>
      <c r="G164" s="1">
        <v>2022</v>
      </c>
      <c r="H164" t="s">
        <v>18</v>
      </c>
      <c r="I164" t="s">
        <v>431</v>
      </c>
      <c r="J164">
        <v>314</v>
      </c>
      <c r="K164" t="s">
        <v>130</v>
      </c>
      <c r="L164" t="s">
        <v>432</v>
      </c>
      <c r="M164" t="s">
        <v>21</v>
      </c>
      <c r="N164" cm="1">
        <f t="array" ref="N164">SUMPRODUCT(--(TRIM(K164:M164)&lt;&gt;"-")*(TRIM(K164:M164)&lt;&gt;"")*(ISTEXT(K164:M164)))</f>
        <v>2</v>
      </c>
      <c r="O164" t="s">
        <v>571</v>
      </c>
      <c r="P164" t="str" cm="1">
        <f t="array" ref="P164">IFERROR(INDEX('Cuisine Mapping'!$B$2:$B$71, MATCH(TRUE, ISNUMBER(SEARCH('Cuisine Mapping'!$A$2:$A$71,foodpanda_orders!$O164)),0)),"Others")</f>
        <v>American/Fast Food</v>
      </c>
      <c r="Q164">
        <v>0</v>
      </c>
    </row>
    <row r="165" spans="1:17" x14ac:dyDescent="0.3">
      <c r="A165">
        <v>164</v>
      </c>
      <c r="B165" t="s">
        <v>823</v>
      </c>
      <c r="C165" s="2">
        <v>44719</v>
      </c>
      <c r="D165" s="3">
        <v>0.93819444444444444</v>
      </c>
      <c r="E165" s="1" t="s">
        <v>12</v>
      </c>
      <c r="F165" s="1" t="s">
        <v>530</v>
      </c>
      <c r="G165" s="1">
        <v>2022</v>
      </c>
      <c r="H165" t="s">
        <v>18</v>
      </c>
      <c r="I165" t="s">
        <v>433</v>
      </c>
      <c r="J165">
        <v>332</v>
      </c>
      <c r="K165" t="s">
        <v>434</v>
      </c>
      <c r="L165" t="s">
        <v>435</v>
      </c>
      <c r="M165" t="s">
        <v>21</v>
      </c>
      <c r="N165" cm="1">
        <f t="array" ref="N165">SUMPRODUCT(--(TRIM(K165:M165)&lt;&gt;"-")*(TRIM(K165:M165)&lt;&gt;"")*(ISTEXT(K165:M165)))</f>
        <v>2</v>
      </c>
      <c r="O165" t="s">
        <v>666</v>
      </c>
      <c r="P165" t="str" cm="1">
        <f t="array" ref="P165">IFERROR(INDEX('Cuisine Mapping'!$B$2:$B$71, MATCH(TRUE, ISNUMBER(SEARCH('Cuisine Mapping'!$A$2:$A$71,foodpanda_orders!$O165)),0)),"Others")</f>
        <v>Italian/Pizza</v>
      </c>
      <c r="Q165">
        <v>0</v>
      </c>
    </row>
    <row r="166" spans="1:17" x14ac:dyDescent="0.3">
      <c r="A166">
        <v>165</v>
      </c>
      <c r="B166" t="s">
        <v>855</v>
      </c>
      <c r="C166" s="2">
        <v>44698</v>
      </c>
      <c r="D166" s="3">
        <v>0.57291666666666663</v>
      </c>
      <c r="E166" s="1" t="s">
        <v>12</v>
      </c>
      <c r="F166" s="1" t="s">
        <v>519</v>
      </c>
      <c r="G166" s="1">
        <v>2022</v>
      </c>
      <c r="H166" t="s">
        <v>18</v>
      </c>
      <c r="I166" t="s">
        <v>436</v>
      </c>
      <c r="J166">
        <v>240</v>
      </c>
      <c r="K166" t="s">
        <v>437</v>
      </c>
      <c r="L166" t="s">
        <v>21</v>
      </c>
      <c r="M166" t="s">
        <v>21</v>
      </c>
      <c r="N166" cm="1">
        <f t="array" ref="N166">SUMPRODUCT(--(TRIM(K166:M166)&lt;&gt;"-")*(TRIM(K166:M166)&lt;&gt;"")*(ISTEXT(K166:M166)))</f>
        <v>1</v>
      </c>
      <c r="O166" t="s">
        <v>667</v>
      </c>
      <c r="P166" t="str" cm="1">
        <f t="array" ref="P166">IFERROR(INDEX('Cuisine Mapping'!$B$2:$B$71, MATCH(TRUE, ISNUMBER(SEARCH('Cuisine Mapping'!$A$2:$A$71,foodpanda_orders!$O166)),0)),"Others")</f>
        <v>Bengali/Desi</v>
      </c>
      <c r="Q166">
        <v>0</v>
      </c>
    </row>
    <row r="167" spans="1:17" x14ac:dyDescent="0.3">
      <c r="A167">
        <v>166</v>
      </c>
      <c r="B167" t="s">
        <v>849</v>
      </c>
      <c r="C167" s="2">
        <v>44697</v>
      </c>
      <c r="D167" s="3">
        <v>0.77986111111111112</v>
      </c>
      <c r="E167" s="1" t="s">
        <v>36</v>
      </c>
      <c r="F167" s="1" t="s">
        <v>519</v>
      </c>
      <c r="G167" s="1">
        <v>2022</v>
      </c>
      <c r="H167" t="s">
        <v>13</v>
      </c>
      <c r="I167" t="s">
        <v>438</v>
      </c>
      <c r="J167">
        <v>430</v>
      </c>
      <c r="K167" t="s">
        <v>439</v>
      </c>
      <c r="L167" t="s">
        <v>397</v>
      </c>
      <c r="M167" t="s">
        <v>21</v>
      </c>
      <c r="N167" cm="1">
        <f t="array" ref="N167">SUMPRODUCT(--(TRIM(K167:M167)&lt;&gt;"-")*(TRIM(K167:M167)&lt;&gt;"")*(ISTEXT(K167:M167)))</f>
        <v>2</v>
      </c>
      <c r="O167" t="s">
        <v>668</v>
      </c>
      <c r="P167" t="str" cm="1">
        <f t="array" ref="P167">IFERROR(INDEX('Cuisine Mapping'!$B$2:$B$71, MATCH(TRUE, ISNUMBER(SEARCH('Cuisine Mapping'!$A$2:$A$71,foodpanda_orders!$O167)),0)),"Others")</f>
        <v>Italian/Pizza</v>
      </c>
      <c r="Q167">
        <v>0</v>
      </c>
    </row>
    <row r="168" spans="1:17" x14ac:dyDescent="0.3">
      <c r="A168">
        <v>167</v>
      </c>
      <c r="B168" t="s">
        <v>845</v>
      </c>
      <c r="C168" s="2">
        <v>44681</v>
      </c>
      <c r="D168" s="3">
        <v>0.875</v>
      </c>
      <c r="E168" s="1" t="s">
        <v>51</v>
      </c>
      <c r="F168" s="1" t="s">
        <v>520</v>
      </c>
      <c r="G168" s="1">
        <v>2022</v>
      </c>
      <c r="H168" t="s">
        <v>18</v>
      </c>
      <c r="I168" t="s">
        <v>440</v>
      </c>
      <c r="J168">
        <v>387</v>
      </c>
      <c r="K168" t="s">
        <v>441</v>
      </c>
      <c r="L168" t="s">
        <v>442</v>
      </c>
      <c r="M168" t="s">
        <v>21</v>
      </c>
      <c r="N168" cm="1">
        <f t="array" ref="N168">SUMPRODUCT(--(TRIM(K168:M168)&lt;&gt;"-")*(TRIM(K168:M168)&lt;&gt;"")*(ISTEXT(K168:M168)))</f>
        <v>2</v>
      </c>
      <c r="O168" t="s">
        <v>669</v>
      </c>
      <c r="P168" t="s">
        <v>748</v>
      </c>
      <c r="Q168">
        <v>0</v>
      </c>
    </row>
    <row r="169" spans="1:17" x14ac:dyDescent="0.3">
      <c r="A169">
        <v>168</v>
      </c>
      <c r="B169" t="s">
        <v>855</v>
      </c>
      <c r="C169" s="2">
        <v>44678</v>
      </c>
      <c r="D169" s="3">
        <v>0.73472222222222228</v>
      </c>
      <c r="E169" s="1" t="s">
        <v>23</v>
      </c>
      <c r="F169" s="1" t="s">
        <v>520</v>
      </c>
      <c r="G169" s="1">
        <v>2022</v>
      </c>
      <c r="H169" t="s">
        <v>18</v>
      </c>
      <c r="I169" t="s">
        <v>443</v>
      </c>
      <c r="J169">
        <v>261</v>
      </c>
      <c r="K169" t="s">
        <v>444</v>
      </c>
      <c r="L169" t="s">
        <v>21</v>
      </c>
      <c r="M169" t="s">
        <v>21</v>
      </c>
      <c r="N169" cm="1">
        <f t="array" ref="N169">SUMPRODUCT(--(TRIM(K169:M169)&lt;&gt;"-")*(TRIM(K169:M169)&lt;&gt;"")*(ISTEXT(K169:M169)))</f>
        <v>1</v>
      </c>
      <c r="O169" t="s">
        <v>670</v>
      </c>
      <c r="P169" t="str" cm="1">
        <f t="array" ref="P169">IFERROR(INDEX('Cuisine Mapping'!$B$2:$B$71, MATCH(TRUE, ISNUMBER(SEARCH('Cuisine Mapping'!$A$2:$A$71,foodpanda_orders!$O169)),0)),"Others")</f>
        <v>Bengali/Desi</v>
      </c>
      <c r="Q169">
        <v>0</v>
      </c>
    </row>
    <row r="170" spans="1:17" x14ac:dyDescent="0.3">
      <c r="A170">
        <v>169</v>
      </c>
      <c r="B170" t="s">
        <v>862</v>
      </c>
      <c r="C170" s="2">
        <v>44670</v>
      </c>
      <c r="D170" s="3">
        <v>0.74444444444444446</v>
      </c>
      <c r="E170" s="1" t="s">
        <v>12</v>
      </c>
      <c r="F170" s="1" t="s">
        <v>520</v>
      </c>
      <c r="G170" s="1">
        <v>2022</v>
      </c>
      <c r="H170" t="s">
        <v>18</v>
      </c>
      <c r="I170" t="s">
        <v>445</v>
      </c>
      <c r="J170">
        <v>535</v>
      </c>
      <c r="K170" t="s">
        <v>446</v>
      </c>
      <c r="L170" t="s">
        <v>447</v>
      </c>
      <c r="M170" t="s">
        <v>21</v>
      </c>
      <c r="N170" cm="1">
        <f t="array" ref="N170">SUMPRODUCT(--(TRIM(K170:M170)&lt;&gt;"-")*(TRIM(K170:M170)&lt;&gt;"")*(ISTEXT(K170:M170)))</f>
        <v>2</v>
      </c>
      <c r="O170" t="s">
        <v>671</v>
      </c>
      <c r="P170" t="str" cm="1">
        <f t="array" ref="P170">IFERROR(INDEX('Cuisine Mapping'!$B$2:$B$71, MATCH(TRUE, ISNUMBER(SEARCH('Cuisine Mapping'!$A$2:$A$71,foodpanda_orders!$O170)),0)),"Others")</f>
        <v>Italian/Pizza</v>
      </c>
      <c r="Q170">
        <v>0</v>
      </c>
    </row>
    <row r="171" spans="1:17" x14ac:dyDescent="0.3">
      <c r="A171">
        <v>170</v>
      </c>
      <c r="B171" t="s">
        <v>863</v>
      </c>
      <c r="C171" s="2">
        <v>44667</v>
      </c>
      <c r="D171" s="3">
        <v>0.91180555555555554</v>
      </c>
      <c r="E171" s="1" t="s">
        <v>51</v>
      </c>
      <c r="F171" s="1" t="s">
        <v>520</v>
      </c>
      <c r="G171" s="1">
        <v>2022</v>
      </c>
      <c r="H171" t="s">
        <v>18</v>
      </c>
      <c r="I171" t="s">
        <v>448</v>
      </c>
      <c r="J171">
        <v>601</v>
      </c>
      <c r="K171" t="s">
        <v>449</v>
      </c>
      <c r="L171" t="s">
        <v>450</v>
      </c>
      <c r="M171" t="s">
        <v>21</v>
      </c>
      <c r="N171" cm="1">
        <f t="array" ref="N171">SUMPRODUCT(--(TRIM(K171:M171)&lt;&gt;"-")*(TRIM(K171:M171)&lt;&gt;"")*(ISTEXT(K171:M171)))</f>
        <v>2</v>
      </c>
      <c r="O171" t="s">
        <v>672</v>
      </c>
      <c r="P171" t="str" cm="1">
        <f t="array" ref="P171">IFERROR(INDEX('Cuisine Mapping'!$B$2:$B$71, MATCH(TRUE, ISNUMBER(SEARCH('Cuisine Mapping'!$A$2:$A$71,foodpanda_orders!$O171)),0)),"Others")</f>
        <v>Italian/Pizza</v>
      </c>
      <c r="Q171">
        <v>0</v>
      </c>
    </row>
    <row r="172" spans="1:17" x14ac:dyDescent="0.3">
      <c r="A172">
        <v>171</v>
      </c>
      <c r="B172" t="s">
        <v>849</v>
      </c>
      <c r="C172" s="2">
        <v>44630</v>
      </c>
      <c r="D172" s="3">
        <v>0.86805555555555558</v>
      </c>
      <c r="E172" s="1" t="s">
        <v>46</v>
      </c>
      <c r="F172" s="1" t="s">
        <v>521</v>
      </c>
      <c r="G172" s="1">
        <v>2022</v>
      </c>
      <c r="H172" t="s">
        <v>13</v>
      </c>
      <c r="I172" t="s">
        <v>451</v>
      </c>
      <c r="J172">
        <v>191</v>
      </c>
      <c r="K172" t="s">
        <v>452</v>
      </c>
      <c r="L172" t="s">
        <v>21</v>
      </c>
      <c r="M172" t="s">
        <v>21</v>
      </c>
      <c r="N172" cm="1">
        <f t="array" ref="N172">SUMPRODUCT(--(TRIM(K172:M172)&lt;&gt;"-")*(TRIM(K172:M172)&lt;&gt;"")*(ISTEXT(K172:M172)))</f>
        <v>1</v>
      </c>
      <c r="O172" t="s">
        <v>673</v>
      </c>
      <c r="P172" t="str" cm="1">
        <f t="array" ref="P172">IFERROR(INDEX('Cuisine Mapping'!$B$2:$B$71, MATCH(TRUE, ISNUMBER(SEARCH('Cuisine Mapping'!$A$2:$A$71,foodpanda_orders!$O172)),0)),"Others")</f>
        <v>Italian/Pizza</v>
      </c>
      <c r="Q172">
        <v>0</v>
      </c>
    </row>
    <row r="173" spans="1:17" x14ac:dyDescent="0.3">
      <c r="A173">
        <v>172</v>
      </c>
      <c r="B173" t="s">
        <v>849</v>
      </c>
      <c r="C173" s="2">
        <v>44619</v>
      </c>
      <c r="D173" s="3">
        <v>0.79513888888888884</v>
      </c>
      <c r="E173" s="1" t="s">
        <v>17</v>
      </c>
      <c r="F173" s="1" t="s">
        <v>522</v>
      </c>
      <c r="G173" s="1">
        <v>2022</v>
      </c>
      <c r="H173" t="s">
        <v>13</v>
      </c>
      <c r="I173" t="s">
        <v>453</v>
      </c>
      <c r="J173">
        <v>191</v>
      </c>
      <c r="K173" t="s">
        <v>454</v>
      </c>
      <c r="L173" t="s">
        <v>21</v>
      </c>
      <c r="M173" t="s">
        <v>21</v>
      </c>
      <c r="N173" cm="1">
        <f t="array" ref="N173">SUMPRODUCT(--(TRIM(K173:M173)&lt;&gt;"-")*(TRIM(K173:M173)&lt;&gt;"")*(ISTEXT(K173:M173)))</f>
        <v>1</v>
      </c>
      <c r="O173" t="s">
        <v>674</v>
      </c>
      <c r="P173" t="str" cm="1">
        <f t="array" ref="P173">IFERROR(INDEX('Cuisine Mapping'!$B$2:$B$71, MATCH(TRUE, ISNUMBER(SEARCH('Cuisine Mapping'!$A$2:$A$71,foodpanda_orders!$O173)),0)),"Others")</f>
        <v>Italian/Pizza</v>
      </c>
      <c r="Q173">
        <v>0</v>
      </c>
    </row>
    <row r="174" spans="1:17" x14ac:dyDescent="0.3">
      <c r="A174">
        <v>173</v>
      </c>
      <c r="B174" t="s">
        <v>849</v>
      </c>
      <c r="C174" s="2">
        <v>44609</v>
      </c>
      <c r="D174" s="3">
        <v>0.82499999999999996</v>
      </c>
      <c r="E174" s="1" t="s">
        <v>46</v>
      </c>
      <c r="F174" s="1" t="s">
        <v>522</v>
      </c>
      <c r="G174" s="1">
        <v>2022</v>
      </c>
      <c r="H174" t="s">
        <v>13</v>
      </c>
      <c r="I174" t="s">
        <v>455</v>
      </c>
      <c r="J174">
        <v>382</v>
      </c>
      <c r="K174" t="s">
        <v>195</v>
      </c>
      <c r="L174" t="s">
        <v>454</v>
      </c>
      <c r="M174" t="s">
        <v>21</v>
      </c>
      <c r="N174" cm="1">
        <f t="array" ref="N174">SUMPRODUCT(--(TRIM(K174:M174)&lt;&gt;"-")*(TRIM(K174:M174)&lt;&gt;"")*(ISTEXT(K174:M174)))</f>
        <v>2</v>
      </c>
      <c r="O174" t="s">
        <v>593</v>
      </c>
      <c r="P174" t="str" cm="1">
        <f t="array" ref="P174">IFERROR(INDEX('Cuisine Mapping'!$B$2:$B$71, MATCH(TRUE, ISNUMBER(SEARCH('Cuisine Mapping'!$A$2:$A$71,foodpanda_orders!$O174)),0)),"Others")</f>
        <v>Italian/Pizza</v>
      </c>
      <c r="Q174">
        <v>0</v>
      </c>
    </row>
    <row r="175" spans="1:17" x14ac:dyDescent="0.3">
      <c r="A175">
        <v>174</v>
      </c>
      <c r="B175" t="s">
        <v>784</v>
      </c>
      <c r="C175" s="2">
        <v>44608</v>
      </c>
      <c r="D175" s="3">
        <v>0.80555555555555558</v>
      </c>
      <c r="E175" s="1" t="s">
        <v>23</v>
      </c>
      <c r="F175" s="1" t="s">
        <v>522</v>
      </c>
      <c r="G175" s="1">
        <v>2022</v>
      </c>
      <c r="H175" t="s">
        <v>18</v>
      </c>
      <c r="I175" t="s">
        <v>456</v>
      </c>
      <c r="J175">
        <v>361</v>
      </c>
      <c r="K175" t="s">
        <v>457</v>
      </c>
      <c r="L175" t="s">
        <v>21</v>
      </c>
      <c r="M175" t="s">
        <v>21</v>
      </c>
      <c r="N175" cm="1">
        <f t="array" ref="N175">SUMPRODUCT(--(TRIM(K175:M175)&lt;&gt;"-")*(TRIM(K175:M175)&lt;&gt;"")*(ISTEXT(K175:M175)))</f>
        <v>1</v>
      </c>
      <c r="O175" t="s">
        <v>675</v>
      </c>
      <c r="P175" t="str" cm="1">
        <f t="array" ref="P175">IFERROR(INDEX('Cuisine Mapping'!$B$2:$B$71, MATCH(TRUE, ISNUMBER(SEARCH('Cuisine Mapping'!$A$2:$A$71,foodpanda_orders!$O175)),0)),"Others")</f>
        <v>American/Fast Food</v>
      </c>
      <c r="Q175">
        <v>0</v>
      </c>
    </row>
    <row r="176" spans="1:17" x14ac:dyDescent="0.3">
      <c r="A176">
        <v>175</v>
      </c>
      <c r="B176" t="s">
        <v>845</v>
      </c>
      <c r="C176" s="2">
        <v>44605</v>
      </c>
      <c r="D176" s="3">
        <v>0.83819444444444446</v>
      </c>
      <c r="E176" s="1" t="s">
        <v>17</v>
      </c>
      <c r="F176" s="1" t="s">
        <v>522</v>
      </c>
      <c r="G176" s="1">
        <v>2022</v>
      </c>
      <c r="H176" t="s">
        <v>13</v>
      </c>
      <c r="I176" t="s">
        <v>458</v>
      </c>
      <c r="J176">
        <v>330</v>
      </c>
      <c r="K176" t="s">
        <v>459</v>
      </c>
      <c r="L176" t="s">
        <v>460</v>
      </c>
      <c r="M176" t="s">
        <v>21</v>
      </c>
      <c r="N176" cm="1">
        <f t="array" ref="N176">SUMPRODUCT(--(TRIM(K176:M176)&lt;&gt;"-")*(TRIM(K176:M176)&lt;&gt;"")*(ISTEXT(K176:M176)))</f>
        <v>2</v>
      </c>
      <c r="O176" t="s">
        <v>676</v>
      </c>
      <c r="P176" t="s">
        <v>748</v>
      </c>
      <c r="Q176">
        <v>0</v>
      </c>
    </row>
    <row r="177" spans="1:17" x14ac:dyDescent="0.3">
      <c r="A177">
        <v>176</v>
      </c>
      <c r="B177" t="s">
        <v>864</v>
      </c>
      <c r="C177" s="2">
        <v>44597</v>
      </c>
      <c r="D177" s="3">
        <v>0.74305555555555558</v>
      </c>
      <c r="E177" s="1" t="s">
        <v>51</v>
      </c>
      <c r="F177" s="1" t="s">
        <v>522</v>
      </c>
      <c r="G177" s="1">
        <v>2022</v>
      </c>
      <c r="H177" t="s">
        <v>18</v>
      </c>
      <c r="I177" t="s">
        <v>461</v>
      </c>
      <c r="J177">
        <v>461</v>
      </c>
      <c r="K177" t="s">
        <v>462</v>
      </c>
      <c r="L177" t="s">
        <v>463</v>
      </c>
      <c r="M177" t="s">
        <v>21</v>
      </c>
      <c r="N177" cm="1">
        <f t="array" ref="N177">SUMPRODUCT(--(TRIM(K177:M177)&lt;&gt;"-")*(TRIM(K177:M177)&lt;&gt;"")*(ISTEXT(K177:M177)))</f>
        <v>2</v>
      </c>
      <c r="O177" t="s">
        <v>677</v>
      </c>
      <c r="P177" t="str" cm="1">
        <f t="array" ref="P177">IFERROR(INDEX('Cuisine Mapping'!$B$2:$B$71, MATCH(TRUE, ISNUMBER(SEARCH('Cuisine Mapping'!$A$2:$A$71,foodpanda_orders!$O177)),0)),"Others")</f>
        <v>American/Fast Food</v>
      </c>
      <c r="Q177">
        <v>0</v>
      </c>
    </row>
    <row r="178" spans="1:17" x14ac:dyDescent="0.3">
      <c r="A178">
        <v>177</v>
      </c>
      <c r="B178" t="s">
        <v>865</v>
      </c>
      <c r="C178" s="2">
        <v>44594</v>
      </c>
      <c r="D178" s="3">
        <v>0.84027777777777779</v>
      </c>
      <c r="E178" s="1" t="s">
        <v>23</v>
      </c>
      <c r="F178" s="1" t="s">
        <v>522</v>
      </c>
      <c r="G178" s="1">
        <v>2022</v>
      </c>
      <c r="H178" t="s">
        <v>18</v>
      </c>
      <c r="I178" t="s">
        <v>464</v>
      </c>
      <c r="J178">
        <v>444</v>
      </c>
      <c r="K178" t="s">
        <v>465</v>
      </c>
      <c r="L178" t="s">
        <v>466</v>
      </c>
      <c r="M178" t="s">
        <v>467</v>
      </c>
      <c r="N178" cm="1">
        <f t="array" ref="N178">SUMPRODUCT(--(TRIM(K178:M178)&lt;&gt;"-")*(TRIM(K178:M178)&lt;&gt;"")*(ISTEXT(K178:M178)))</f>
        <v>3</v>
      </c>
      <c r="O178" t="s">
        <v>678</v>
      </c>
      <c r="P178" t="str" cm="1">
        <f t="array" ref="P178">IFERROR(INDEX('Cuisine Mapping'!$B$2:$B$71, MATCH(TRUE, ISNUMBER(SEARCH('Cuisine Mapping'!$A$2:$A$71,foodpanda_orders!$O178)),0)),"Others")</f>
        <v>Middle Eastern</v>
      </c>
      <c r="Q178">
        <v>0</v>
      </c>
    </row>
    <row r="179" spans="1:17" x14ac:dyDescent="0.3">
      <c r="A179">
        <v>178</v>
      </c>
      <c r="B179" t="s">
        <v>866</v>
      </c>
      <c r="C179" s="2">
        <v>44592</v>
      </c>
      <c r="D179" s="3">
        <v>0.8569444444444444</v>
      </c>
      <c r="E179" s="1" t="s">
        <v>36</v>
      </c>
      <c r="F179" s="1" t="s">
        <v>523</v>
      </c>
      <c r="G179" s="1">
        <v>2022</v>
      </c>
      <c r="H179" t="s">
        <v>18</v>
      </c>
      <c r="I179" t="s">
        <v>468</v>
      </c>
      <c r="J179">
        <v>464</v>
      </c>
      <c r="K179" t="s">
        <v>469</v>
      </c>
      <c r="L179" t="s">
        <v>470</v>
      </c>
      <c r="M179" t="s">
        <v>21</v>
      </c>
      <c r="N179" cm="1">
        <f t="array" ref="N179">SUMPRODUCT(--(TRIM(K179:M179)&lt;&gt;"-")*(TRIM(K179:M179)&lt;&gt;"")*(ISTEXT(K179:M179)))</f>
        <v>2</v>
      </c>
      <c r="O179" t="s">
        <v>679</v>
      </c>
      <c r="P179" t="str" cm="1">
        <f t="array" ref="P179">IFERROR(INDEX('Cuisine Mapping'!$B$2:$B$71, MATCH(TRUE, ISNUMBER(SEARCH('Cuisine Mapping'!$A$2:$A$71,foodpanda_orders!$O179)),0)),"Others")</f>
        <v>Italian/Pizza</v>
      </c>
      <c r="Q179">
        <v>0</v>
      </c>
    </row>
    <row r="180" spans="1:17" x14ac:dyDescent="0.3">
      <c r="A180">
        <v>179</v>
      </c>
      <c r="B180" t="s">
        <v>823</v>
      </c>
      <c r="C180" s="2">
        <v>44587</v>
      </c>
      <c r="D180" s="3">
        <v>0.74444444444444446</v>
      </c>
      <c r="E180" s="1" t="s">
        <v>23</v>
      </c>
      <c r="F180" s="1" t="s">
        <v>523</v>
      </c>
      <c r="G180" s="1">
        <v>2022</v>
      </c>
      <c r="H180" t="s">
        <v>18</v>
      </c>
      <c r="I180" t="s">
        <v>471</v>
      </c>
      <c r="J180">
        <v>306</v>
      </c>
      <c r="K180" t="s">
        <v>472</v>
      </c>
      <c r="L180" t="s">
        <v>21</v>
      </c>
      <c r="M180" t="s">
        <v>21</v>
      </c>
      <c r="N180" cm="1">
        <f t="array" ref="N180">SUMPRODUCT(--(TRIM(K180:M180)&lt;&gt;"-")*(TRIM(K180:M180)&lt;&gt;"")*(ISTEXT(K180:M180)))</f>
        <v>1</v>
      </c>
      <c r="O180" t="s">
        <v>680</v>
      </c>
      <c r="P180" t="str" cm="1">
        <f t="array" ref="P180">IFERROR(INDEX('Cuisine Mapping'!$B$2:$B$71, MATCH(TRUE, ISNUMBER(SEARCH('Cuisine Mapping'!$A$2:$A$71,foodpanda_orders!$O180)),0)),"Others")</f>
        <v>Italian/Pizza</v>
      </c>
      <c r="Q180">
        <v>0</v>
      </c>
    </row>
    <row r="181" spans="1:17" x14ac:dyDescent="0.3">
      <c r="A181">
        <v>180</v>
      </c>
      <c r="B181" t="s">
        <v>849</v>
      </c>
      <c r="C181" s="2">
        <v>44584</v>
      </c>
      <c r="D181" s="3">
        <v>0.83958333333333335</v>
      </c>
      <c r="E181" s="1" t="s">
        <v>17</v>
      </c>
      <c r="F181" s="1" t="s">
        <v>523</v>
      </c>
      <c r="G181" s="1">
        <v>2022</v>
      </c>
      <c r="H181" t="s">
        <v>13</v>
      </c>
      <c r="I181" t="s">
        <v>473</v>
      </c>
      <c r="J181">
        <v>218</v>
      </c>
      <c r="K181" t="s">
        <v>474</v>
      </c>
      <c r="L181" t="s">
        <v>21</v>
      </c>
      <c r="M181" t="s">
        <v>21</v>
      </c>
      <c r="N181" cm="1">
        <f t="array" ref="N181">SUMPRODUCT(--(TRIM(K181:M181)&lt;&gt;"-")*(TRIM(K181:M181)&lt;&gt;"")*(ISTEXT(K181:M181)))</f>
        <v>1</v>
      </c>
      <c r="O181" t="s">
        <v>681</v>
      </c>
      <c r="P181" t="str" cm="1">
        <f t="array" ref="P181">IFERROR(INDEX('Cuisine Mapping'!$B$2:$B$71, MATCH(TRUE, ISNUMBER(SEARCH('Cuisine Mapping'!$A$2:$A$71,foodpanda_orders!$O181)),0)),"Others")</f>
        <v>Italian/Pizza</v>
      </c>
      <c r="Q181">
        <v>0</v>
      </c>
    </row>
    <row r="182" spans="1:17" x14ac:dyDescent="0.3">
      <c r="A182">
        <v>181</v>
      </c>
      <c r="B182" t="s">
        <v>849</v>
      </c>
      <c r="C182" s="2">
        <v>44582</v>
      </c>
      <c r="D182" s="3">
        <v>0.72291666666666665</v>
      </c>
      <c r="E182" s="1" t="s">
        <v>31</v>
      </c>
      <c r="F182" s="1" t="s">
        <v>523</v>
      </c>
      <c r="G182" s="1">
        <v>2022</v>
      </c>
      <c r="H182" t="s">
        <v>18</v>
      </c>
      <c r="I182" t="s">
        <v>475</v>
      </c>
      <c r="J182">
        <v>284</v>
      </c>
      <c r="K182" t="s">
        <v>476</v>
      </c>
      <c r="L182" t="s">
        <v>21</v>
      </c>
      <c r="M182" t="s">
        <v>21</v>
      </c>
      <c r="N182" cm="1">
        <f t="array" ref="N182">SUMPRODUCT(--(TRIM(K182:M182)&lt;&gt;"-")*(TRIM(K182:M182)&lt;&gt;"")*(ISTEXT(K182:M182)))</f>
        <v>1</v>
      </c>
      <c r="O182" t="s">
        <v>682</v>
      </c>
      <c r="P182" t="str" cm="1">
        <f t="array" ref="P182">IFERROR(INDEX('Cuisine Mapping'!$B$2:$B$71, MATCH(TRUE, ISNUMBER(SEARCH('Cuisine Mapping'!$A$2:$A$71,foodpanda_orders!$O182)),0)),"Others")</f>
        <v>Kabab/Grill</v>
      </c>
      <c r="Q182">
        <v>0</v>
      </c>
    </row>
    <row r="183" spans="1:17" x14ac:dyDescent="0.3">
      <c r="A183">
        <v>182</v>
      </c>
      <c r="B183" t="s">
        <v>784</v>
      </c>
      <c r="C183" s="2">
        <v>44575</v>
      </c>
      <c r="D183" s="3">
        <v>0.78541666666666665</v>
      </c>
      <c r="E183" s="1" t="s">
        <v>31</v>
      </c>
      <c r="F183" s="1" t="s">
        <v>523</v>
      </c>
      <c r="G183" s="1">
        <v>2022</v>
      </c>
      <c r="H183" t="s">
        <v>18</v>
      </c>
      <c r="I183" t="s">
        <v>477</v>
      </c>
      <c r="J183">
        <v>308</v>
      </c>
      <c r="K183" t="s">
        <v>457</v>
      </c>
      <c r="L183" t="s">
        <v>21</v>
      </c>
      <c r="M183" t="s">
        <v>21</v>
      </c>
      <c r="N183" cm="1">
        <f t="array" ref="N183">SUMPRODUCT(--(TRIM(K183:M183)&lt;&gt;"-")*(TRIM(K183:M183)&lt;&gt;"")*(ISTEXT(K183:M183)))</f>
        <v>1</v>
      </c>
      <c r="O183" t="s">
        <v>675</v>
      </c>
      <c r="P183" t="str" cm="1">
        <f t="array" ref="P183">IFERROR(INDEX('Cuisine Mapping'!$B$2:$B$71, MATCH(TRUE, ISNUMBER(SEARCH('Cuisine Mapping'!$A$2:$A$71,foodpanda_orders!$O183)),0)),"Others")</f>
        <v>American/Fast Food</v>
      </c>
      <c r="Q183">
        <v>0</v>
      </c>
    </row>
    <row r="184" spans="1:17" x14ac:dyDescent="0.3">
      <c r="A184">
        <v>183</v>
      </c>
      <c r="B184" t="s">
        <v>828</v>
      </c>
      <c r="C184" s="2">
        <v>44566</v>
      </c>
      <c r="D184" s="3">
        <v>0.84375</v>
      </c>
      <c r="E184" s="1" t="s">
        <v>23</v>
      </c>
      <c r="F184" s="1" t="s">
        <v>523</v>
      </c>
      <c r="G184" s="1">
        <v>2022</v>
      </c>
      <c r="H184" t="s">
        <v>18</v>
      </c>
      <c r="I184" t="s">
        <v>478</v>
      </c>
      <c r="J184">
        <v>331</v>
      </c>
      <c r="K184" t="s">
        <v>479</v>
      </c>
      <c r="L184" t="s">
        <v>480</v>
      </c>
      <c r="M184" t="s">
        <v>21</v>
      </c>
      <c r="N184" cm="1">
        <f t="array" ref="N184">SUMPRODUCT(--(TRIM(K184:M184)&lt;&gt;"-")*(TRIM(K184:M184)&lt;&gt;"")*(ISTEXT(K184:M184)))</f>
        <v>2</v>
      </c>
      <c r="O184" t="s">
        <v>683</v>
      </c>
      <c r="P184" t="s">
        <v>748</v>
      </c>
      <c r="Q184">
        <v>0</v>
      </c>
    </row>
    <row r="185" spans="1:17" x14ac:dyDescent="0.3">
      <c r="A185">
        <v>184</v>
      </c>
      <c r="B185" t="s">
        <v>822</v>
      </c>
      <c r="C185" s="2">
        <v>44549</v>
      </c>
      <c r="D185" s="3">
        <v>0.86875000000000002</v>
      </c>
      <c r="E185" s="1" t="s">
        <v>17</v>
      </c>
      <c r="F185" s="1" t="s">
        <v>524</v>
      </c>
      <c r="G185" s="1">
        <v>2021</v>
      </c>
      <c r="H185" t="s">
        <v>18</v>
      </c>
      <c r="I185" t="s">
        <v>481</v>
      </c>
      <c r="J185">
        <v>300</v>
      </c>
      <c r="K185" t="s">
        <v>482</v>
      </c>
      <c r="L185" t="s">
        <v>21</v>
      </c>
      <c r="M185" t="s">
        <v>21</v>
      </c>
      <c r="N185" cm="1">
        <f t="array" ref="N185">SUMPRODUCT(--(TRIM(K185:M185)&lt;&gt;"-")*(TRIM(K185:M185)&lt;&gt;"")*(ISTEXT(K185:M185)))</f>
        <v>1</v>
      </c>
      <c r="O185" t="s">
        <v>684</v>
      </c>
      <c r="P185" t="str" cm="1">
        <f t="array" ref="P185">IFERROR(INDEX('Cuisine Mapping'!$B$2:$B$71, MATCH(TRUE, ISNUMBER(SEARCH('Cuisine Mapping'!$A$2:$A$71,foodpanda_orders!$O185)),0)),"Others")</f>
        <v>Italian/Pizza</v>
      </c>
      <c r="Q185">
        <v>0</v>
      </c>
    </row>
    <row r="186" spans="1:17" x14ac:dyDescent="0.3">
      <c r="A186">
        <v>185</v>
      </c>
      <c r="B186" t="s">
        <v>867</v>
      </c>
      <c r="C186" s="2">
        <v>44543</v>
      </c>
      <c r="D186" s="3">
        <v>0.86736111111111114</v>
      </c>
      <c r="E186" s="1" t="s">
        <v>36</v>
      </c>
      <c r="F186" s="1" t="s">
        <v>524</v>
      </c>
      <c r="G186" s="1">
        <v>2021</v>
      </c>
      <c r="H186" t="s">
        <v>18</v>
      </c>
      <c r="I186" t="s">
        <v>483</v>
      </c>
      <c r="J186">
        <v>213</v>
      </c>
      <c r="K186" t="s">
        <v>484</v>
      </c>
      <c r="L186" t="s">
        <v>21</v>
      </c>
      <c r="M186" t="s">
        <v>21</v>
      </c>
      <c r="N186" cm="1">
        <f t="array" ref="N186">SUMPRODUCT(--(TRIM(K186:M186)&lt;&gt;"-")*(TRIM(K186:M186)&lt;&gt;"")*(ISTEXT(K186:M186)))</f>
        <v>1</v>
      </c>
      <c r="O186" t="s">
        <v>685</v>
      </c>
      <c r="P186" t="s">
        <v>748</v>
      </c>
      <c r="Q186">
        <v>0</v>
      </c>
    </row>
    <row r="187" spans="1:17" x14ac:dyDescent="0.3">
      <c r="A187">
        <v>186</v>
      </c>
      <c r="B187" t="s">
        <v>868</v>
      </c>
      <c r="C187" s="2">
        <v>44537</v>
      </c>
      <c r="D187" s="3">
        <v>0.72569444444444442</v>
      </c>
      <c r="E187" s="1" t="s">
        <v>12</v>
      </c>
      <c r="F187" s="1" t="s">
        <v>524</v>
      </c>
      <c r="G187" s="1">
        <v>2021</v>
      </c>
      <c r="H187" t="s">
        <v>18</v>
      </c>
      <c r="I187" t="s">
        <v>485</v>
      </c>
      <c r="J187">
        <v>344</v>
      </c>
      <c r="K187" t="s">
        <v>486</v>
      </c>
      <c r="L187" t="s">
        <v>21</v>
      </c>
      <c r="M187" t="s">
        <v>21</v>
      </c>
      <c r="N187" cm="1">
        <f t="array" ref="N187">SUMPRODUCT(--(TRIM(K187:M187)&lt;&gt;"-")*(TRIM(K187:M187)&lt;&gt;"")*(ISTEXT(K187:M187)))</f>
        <v>1</v>
      </c>
      <c r="O187" t="s">
        <v>686</v>
      </c>
      <c r="P187" t="str" cm="1">
        <f t="array" ref="P187">IFERROR(INDEX('Cuisine Mapping'!$B$2:$B$71, MATCH(TRUE, ISNUMBER(SEARCH('Cuisine Mapping'!$A$2:$A$71,foodpanda_orders!$O187)),0)),"Others")</f>
        <v>East Asian</v>
      </c>
      <c r="Q187">
        <v>0</v>
      </c>
    </row>
    <row r="188" spans="1:17" x14ac:dyDescent="0.3">
      <c r="A188">
        <v>187</v>
      </c>
      <c r="B188" t="s">
        <v>836</v>
      </c>
      <c r="C188" s="2">
        <v>44535</v>
      </c>
      <c r="D188" s="3">
        <v>0.80138888888888893</v>
      </c>
      <c r="E188" s="1" t="s">
        <v>17</v>
      </c>
      <c r="F188" s="1" t="s">
        <v>524</v>
      </c>
      <c r="G188" s="1">
        <v>2021</v>
      </c>
      <c r="H188" t="s">
        <v>18</v>
      </c>
      <c r="I188" t="s">
        <v>487</v>
      </c>
      <c r="J188">
        <v>230</v>
      </c>
      <c r="K188" t="s">
        <v>488</v>
      </c>
      <c r="L188" t="s">
        <v>489</v>
      </c>
      <c r="M188" t="s">
        <v>21</v>
      </c>
      <c r="N188" cm="1">
        <f t="array" ref="N188">SUMPRODUCT(--(TRIM(K188:M188)&lt;&gt;"-")*(TRIM(K188:M188)&lt;&gt;"")*(ISTEXT(K188:M188)))</f>
        <v>2</v>
      </c>
      <c r="O188" t="s">
        <v>687</v>
      </c>
      <c r="P188" t="str" cm="1">
        <f t="array" ref="P188">IFERROR(INDEX('Cuisine Mapping'!$B$2:$B$71, MATCH(TRUE, ISNUMBER(SEARCH('Cuisine Mapping'!$A$2:$A$71,foodpanda_orders!$O188)),0)),"Others")</f>
        <v>Beverages</v>
      </c>
      <c r="Q188">
        <v>0</v>
      </c>
    </row>
    <row r="189" spans="1:17" x14ac:dyDescent="0.3">
      <c r="A189">
        <v>188</v>
      </c>
      <c r="B189" t="s">
        <v>869</v>
      </c>
      <c r="C189" s="2">
        <v>44496</v>
      </c>
      <c r="D189" s="3">
        <v>0.78055555555555556</v>
      </c>
      <c r="E189" s="1" t="s">
        <v>23</v>
      </c>
      <c r="F189" s="1" t="s">
        <v>526</v>
      </c>
      <c r="G189" s="1">
        <v>2021</v>
      </c>
      <c r="H189" t="s">
        <v>18</v>
      </c>
      <c r="I189" t="s">
        <v>490</v>
      </c>
      <c r="J189">
        <v>541</v>
      </c>
      <c r="K189" t="s">
        <v>491</v>
      </c>
      <c r="L189" t="s">
        <v>492</v>
      </c>
      <c r="M189" t="s">
        <v>493</v>
      </c>
      <c r="N189" cm="1">
        <f t="array" ref="N189">SUMPRODUCT(--(TRIM(K189:M189)&lt;&gt;"-")*(TRIM(K189:M189)&lt;&gt;"")*(ISTEXT(K189:M189)))</f>
        <v>3</v>
      </c>
      <c r="O189" t="s">
        <v>688</v>
      </c>
      <c r="P189" t="str" cm="1">
        <f t="array" ref="P189">IFERROR(INDEX('Cuisine Mapping'!$B$2:$B$71, MATCH(TRUE, ISNUMBER(SEARCH('Cuisine Mapping'!$A$2:$A$71,foodpanda_orders!$O189)),0)),"Others")</f>
        <v>American/Fast Food</v>
      </c>
      <c r="Q189">
        <v>0</v>
      </c>
    </row>
    <row r="190" spans="1:17" x14ac:dyDescent="0.3">
      <c r="A190">
        <v>189</v>
      </c>
      <c r="B190" t="s">
        <v>870</v>
      </c>
      <c r="C190" s="2">
        <v>44488</v>
      </c>
      <c r="D190" s="3">
        <v>0.66111111111111109</v>
      </c>
      <c r="E190" s="1" t="s">
        <v>12</v>
      </c>
      <c r="F190" s="1" t="s">
        <v>526</v>
      </c>
      <c r="G190" s="1">
        <v>2021</v>
      </c>
      <c r="H190" t="s">
        <v>18</v>
      </c>
      <c r="I190" t="s">
        <v>494</v>
      </c>
      <c r="J190">
        <v>513</v>
      </c>
      <c r="K190" t="s">
        <v>495</v>
      </c>
      <c r="L190" t="s">
        <v>496</v>
      </c>
      <c r="M190" t="s">
        <v>21</v>
      </c>
      <c r="N190" cm="1">
        <f t="array" ref="N190">SUMPRODUCT(--(TRIM(K190:M190)&lt;&gt;"-")*(TRIM(K190:M190)&lt;&gt;"")*(ISTEXT(K190:M190)))</f>
        <v>2</v>
      </c>
      <c r="O190" t="s">
        <v>689</v>
      </c>
      <c r="P190" t="str" cm="1">
        <f t="array" ref="P190">IFERROR(INDEX('Cuisine Mapping'!$B$2:$B$71, MATCH(TRUE, ISNUMBER(SEARCH('Cuisine Mapping'!$A$2:$A$71,foodpanda_orders!$O190)),0)),"Others")</f>
        <v>Kabab/Grill</v>
      </c>
      <c r="Q190">
        <v>0</v>
      </c>
    </row>
    <row r="191" spans="1:17" x14ac:dyDescent="0.3">
      <c r="A191">
        <v>190</v>
      </c>
      <c r="B191" t="s">
        <v>869</v>
      </c>
      <c r="C191" s="2">
        <v>44462</v>
      </c>
      <c r="D191" s="3">
        <v>0.83611111111111114</v>
      </c>
      <c r="E191" s="1" t="s">
        <v>46</v>
      </c>
      <c r="F191" s="1" t="s">
        <v>527</v>
      </c>
      <c r="G191" s="1">
        <v>2021</v>
      </c>
      <c r="H191" t="s">
        <v>18</v>
      </c>
      <c r="I191" t="s">
        <v>497</v>
      </c>
      <c r="J191">
        <v>261</v>
      </c>
      <c r="K191" t="s">
        <v>498</v>
      </c>
      <c r="L191" t="s">
        <v>491</v>
      </c>
      <c r="M191" t="s">
        <v>499</v>
      </c>
      <c r="N191" cm="1">
        <f t="array" ref="N191">SUMPRODUCT(--(TRIM(K191:M191)&lt;&gt;"-")*(TRIM(K191:M191)&lt;&gt;"")*(ISTEXT(K191:M191)))</f>
        <v>3</v>
      </c>
      <c r="O191" t="s">
        <v>690</v>
      </c>
      <c r="P191" t="str" cm="1">
        <f t="array" ref="P191">IFERROR(INDEX('Cuisine Mapping'!$B$2:$B$71, MATCH(TRUE, ISNUMBER(SEARCH('Cuisine Mapping'!$A$2:$A$71,foodpanda_orders!$O191)),0)),"Others")</f>
        <v>American/Fast Food</v>
      </c>
      <c r="Q191">
        <v>0</v>
      </c>
    </row>
    <row r="192" spans="1:17" x14ac:dyDescent="0.3">
      <c r="A192">
        <v>191</v>
      </c>
      <c r="B192" t="s">
        <v>871</v>
      </c>
      <c r="C192" s="2">
        <v>44455</v>
      </c>
      <c r="D192" s="3">
        <v>0.82013888888888886</v>
      </c>
      <c r="E192" s="1" t="s">
        <v>46</v>
      </c>
      <c r="F192" s="1" t="s">
        <v>527</v>
      </c>
      <c r="G192" s="1">
        <v>2021</v>
      </c>
      <c r="H192" t="s">
        <v>18</v>
      </c>
      <c r="I192" t="s">
        <v>500</v>
      </c>
      <c r="J192">
        <v>396</v>
      </c>
      <c r="K192" t="s">
        <v>501</v>
      </c>
      <c r="L192" t="s">
        <v>21</v>
      </c>
      <c r="M192" t="s">
        <v>21</v>
      </c>
      <c r="N192" cm="1">
        <f t="array" ref="N192">SUMPRODUCT(--(TRIM(K192:M192)&lt;&gt;"-")*(TRIM(K192:M192)&lt;&gt;"")*(ISTEXT(K192:M192)))</f>
        <v>1</v>
      </c>
      <c r="O192" t="s">
        <v>691</v>
      </c>
      <c r="P192" t="str" cm="1">
        <f t="array" ref="P192">IFERROR(INDEX('Cuisine Mapping'!$B$2:$B$71, MATCH(TRUE, ISNUMBER(SEARCH('Cuisine Mapping'!$A$2:$A$71,foodpanda_orders!$O192)),0)),"Others")</f>
        <v>Italian/Pizza</v>
      </c>
      <c r="Q192">
        <v>0</v>
      </c>
    </row>
    <row r="193" spans="1:17" x14ac:dyDescent="0.3">
      <c r="A193">
        <v>192</v>
      </c>
      <c r="B193" t="s">
        <v>868</v>
      </c>
      <c r="C193" s="2">
        <v>44440</v>
      </c>
      <c r="D193" s="3">
        <v>0.89027777777777772</v>
      </c>
      <c r="E193" s="1" t="s">
        <v>23</v>
      </c>
      <c r="F193" s="1" t="s">
        <v>527</v>
      </c>
      <c r="G193" s="1">
        <v>2021</v>
      </c>
      <c r="H193" t="s">
        <v>18</v>
      </c>
      <c r="I193" t="s">
        <v>502</v>
      </c>
      <c r="J193">
        <v>351</v>
      </c>
      <c r="K193" t="s">
        <v>503</v>
      </c>
      <c r="L193" t="s">
        <v>21</v>
      </c>
      <c r="M193" t="s">
        <v>21</v>
      </c>
      <c r="N193" cm="1">
        <f t="array" ref="N193">SUMPRODUCT(--(TRIM(K193:M193)&lt;&gt;"-")*(TRIM(K193:M193)&lt;&gt;"")*(ISTEXT(K193:M193)))</f>
        <v>1</v>
      </c>
      <c r="O193" t="s">
        <v>692</v>
      </c>
      <c r="P193" t="s">
        <v>748</v>
      </c>
      <c r="Q193">
        <v>0</v>
      </c>
    </row>
    <row r="194" spans="1:17" x14ac:dyDescent="0.3">
      <c r="A194">
        <v>193</v>
      </c>
      <c r="B194" t="s">
        <v>872</v>
      </c>
      <c r="C194" s="2">
        <v>44422</v>
      </c>
      <c r="D194" s="3">
        <v>0.56180555555555556</v>
      </c>
      <c r="E194" s="1" t="s">
        <v>51</v>
      </c>
      <c r="F194" s="1" t="s">
        <v>528</v>
      </c>
      <c r="G194" s="1">
        <v>2021</v>
      </c>
      <c r="H194" t="s">
        <v>18</v>
      </c>
      <c r="I194" t="s">
        <v>504</v>
      </c>
      <c r="J194">
        <v>215</v>
      </c>
      <c r="K194" t="s">
        <v>505</v>
      </c>
      <c r="L194" t="s">
        <v>506</v>
      </c>
      <c r="M194" t="s">
        <v>21</v>
      </c>
      <c r="N194" cm="1">
        <f t="array" ref="N194">SUMPRODUCT(--(TRIM(K194:M194)&lt;&gt;"-")*(TRIM(K194:M194)&lt;&gt;"")*(ISTEXT(K194:M194)))</f>
        <v>2</v>
      </c>
      <c r="O194" t="s">
        <v>693</v>
      </c>
      <c r="P194" t="str" cm="1">
        <f t="array" ref="P194">IFERROR(INDEX('Cuisine Mapping'!$B$2:$B$71, MATCH(TRUE, ISNUMBER(SEARCH('Cuisine Mapping'!$A$2:$A$71,foodpanda_orders!$O194)),0)),"Others")</f>
        <v>Bengali/Desi</v>
      </c>
      <c r="Q194">
        <v>0</v>
      </c>
    </row>
    <row r="195" spans="1:17" x14ac:dyDescent="0.3">
      <c r="A195">
        <v>194</v>
      </c>
      <c r="B195" t="s">
        <v>798</v>
      </c>
      <c r="C195" s="2">
        <v>44410</v>
      </c>
      <c r="D195" s="3">
        <v>0.80694444444444446</v>
      </c>
      <c r="E195" s="1" t="s">
        <v>36</v>
      </c>
      <c r="F195" s="1" t="s">
        <v>528</v>
      </c>
      <c r="G195" s="1">
        <v>2021</v>
      </c>
      <c r="H195" t="s">
        <v>18</v>
      </c>
      <c r="I195" t="s">
        <v>507</v>
      </c>
      <c r="J195">
        <v>398</v>
      </c>
      <c r="K195" t="s">
        <v>91</v>
      </c>
      <c r="L195" t="s">
        <v>21</v>
      </c>
      <c r="M195" t="s">
        <v>21</v>
      </c>
      <c r="N195" cm="1">
        <f t="array" ref="N195">SUMPRODUCT(--(TRIM(K195:M195)&lt;&gt;"-")*(TRIM(K195:M195)&lt;&gt;"")*(ISTEXT(K195:M195)))</f>
        <v>1</v>
      </c>
      <c r="O195" t="s">
        <v>565</v>
      </c>
      <c r="P195" t="str" cm="1">
        <f t="array" ref="P195">IFERROR(INDEX('Cuisine Mapping'!$B$2:$B$71, MATCH(TRUE, ISNUMBER(SEARCH('Cuisine Mapping'!$A$2:$A$71,foodpanda_orders!$O195)),0)),"Others")</f>
        <v>American/Fast Food</v>
      </c>
      <c r="Q195">
        <v>0</v>
      </c>
    </row>
    <row r="196" spans="1:17" x14ac:dyDescent="0.3">
      <c r="A196">
        <v>195</v>
      </c>
      <c r="B196" t="s">
        <v>845</v>
      </c>
      <c r="C196" s="2">
        <v>44397</v>
      </c>
      <c r="D196" s="3">
        <v>0.84305555555555556</v>
      </c>
      <c r="E196" s="1" t="s">
        <v>12</v>
      </c>
      <c r="F196" s="1" t="s">
        <v>529</v>
      </c>
      <c r="G196" s="1">
        <v>2021</v>
      </c>
      <c r="H196" t="s">
        <v>18</v>
      </c>
      <c r="I196" t="s">
        <v>508</v>
      </c>
      <c r="J196">
        <v>375</v>
      </c>
      <c r="K196" t="s">
        <v>509</v>
      </c>
      <c r="L196" t="s">
        <v>442</v>
      </c>
      <c r="M196" t="s">
        <v>21</v>
      </c>
      <c r="N196" cm="1">
        <f t="array" ref="N196">SUMPRODUCT(--(TRIM(K196:M196)&lt;&gt;"-")*(TRIM(K196:M196)&lt;&gt;"")*(ISTEXT(K196:M196)))</f>
        <v>2</v>
      </c>
      <c r="O196" t="s">
        <v>643</v>
      </c>
      <c r="P196" t="s">
        <v>748</v>
      </c>
      <c r="Q196">
        <v>0</v>
      </c>
    </row>
    <row r="197" spans="1:17" x14ac:dyDescent="0.3">
      <c r="A197">
        <v>196</v>
      </c>
      <c r="B197" t="s">
        <v>873</v>
      </c>
      <c r="C197" s="2">
        <v>44393</v>
      </c>
      <c r="D197" s="3">
        <v>0.81666666666666665</v>
      </c>
      <c r="E197" s="1" t="s">
        <v>31</v>
      </c>
      <c r="F197" s="1" t="s">
        <v>529</v>
      </c>
      <c r="G197" s="1">
        <v>2021</v>
      </c>
      <c r="H197" t="s">
        <v>18</v>
      </c>
      <c r="I197" t="s">
        <v>510</v>
      </c>
      <c r="J197">
        <v>337</v>
      </c>
      <c r="K197" t="s">
        <v>441</v>
      </c>
      <c r="L197" t="s">
        <v>511</v>
      </c>
      <c r="M197" t="s">
        <v>21</v>
      </c>
      <c r="N197" cm="1">
        <f t="array" ref="N197">SUMPRODUCT(--(TRIM(K197:M197)&lt;&gt;"-")*(TRIM(K197:M197)&lt;&gt;"")*(ISTEXT(K197:M197)))</f>
        <v>2</v>
      </c>
      <c r="O197" t="s">
        <v>669</v>
      </c>
      <c r="P197" t="s">
        <v>748</v>
      </c>
      <c r="Q197">
        <v>0</v>
      </c>
    </row>
    <row r="198" spans="1:17" x14ac:dyDescent="0.3">
      <c r="A198">
        <v>197</v>
      </c>
      <c r="B198" t="s">
        <v>871</v>
      </c>
      <c r="C198" s="2">
        <v>44391</v>
      </c>
      <c r="D198" s="3">
        <v>0.85416666666666663</v>
      </c>
      <c r="E198" s="1" t="s">
        <v>23</v>
      </c>
      <c r="F198" s="1" t="s">
        <v>529</v>
      </c>
      <c r="G198" s="1">
        <v>2021</v>
      </c>
      <c r="H198" t="s">
        <v>18</v>
      </c>
      <c r="I198" t="s">
        <v>512</v>
      </c>
      <c r="J198">
        <v>409</v>
      </c>
      <c r="K198" t="s">
        <v>513</v>
      </c>
      <c r="L198" t="s">
        <v>501</v>
      </c>
      <c r="M198" t="s">
        <v>21</v>
      </c>
      <c r="N198" cm="1">
        <f t="array" ref="N198">SUMPRODUCT(--(TRIM(K198:M198)&lt;&gt;"-")*(TRIM(K198:M198)&lt;&gt;"")*(ISTEXT(K198:M198)))</f>
        <v>2</v>
      </c>
      <c r="O198" t="s">
        <v>694</v>
      </c>
      <c r="P198" t="str" cm="1">
        <f t="array" ref="P198">IFERROR(INDEX('Cuisine Mapping'!$B$2:$B$71, MATCH(TRUE, ISNUMBER(SEARCH('Cuisine Mapping'!$A$2:$A$71,foodpanda_orders!$O198)),0)),"Others")</f>
        <v>Italian/Pizza</v>
      </c>
      <c r="Q198">
        <v>0</v>
      </c>
    </row>
    <row r="199" spans="1:17" x14ac:dyDescent="0.3">
      <c r="A199">
        <v>198</v>
      </c>
      <c r="B199" t="s">
        <v>871</v>
      </c>
      <c r="C199" s="2">
        <v>44387</v>
      </c>
      <c r="D199" s="3">
        <v>0.87916666666666665</v>
      </c>
      <c r="E199" s="1" t="s">
        <v>51</v>
      </c>
      <c r="F199" s="1" t="s">
        <v>529</v>
      </c>
      <c r="G199" s="1">
        <v>2021</v>
      </c>
      <c r="H199" t="s">
        <v>18</v>
      </c>
      <c r="I199" t="s">
        <v>514</v>
      </c>
      <c r="J199">
        <v>655</v>
      </c>
      <c r="K199" t="s">
        <v>515</v>
      </c>
      <c r="L199" t="s">
        <v>516</v>
      </c>
      <c r="M199" t="s">
        <v>21</v>
      </c>
      <c r="N199" cm="1">
        <f t="array" ref="N199">SUMPRODUCT(--(TRIM(K199:M199)&lt;&gt;"-")*(TRIM(K199:M199)&lt;&gt;"")*(ISTEXT(K199:M199)))</f>
        <v>2</v>
      </c>
      <c r="O199" t="s">
        <v>691</v>
      </c>
      <c r="P199" t="str" cm="1">
        <f t="array" ref="P199">IFERROR(INDEX('Cuisine Mapping'!$B$2:$B$71, MATCH(TRUE, ISNUMBER(SEARCH('Cuisine Mapping'!$A$2:$A$71,foodpanda_orders!$O199)),0)),"Others")</f>
        <v>Italian/Pizza</v>
      </c>
      <c r="Q199">
        <v>0</v>
      </c>
    </row>
  </sheetData>
  <autoFilter ref="A1:Q19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A0B56-491A-4D47-BC7A-794206798A1C}">
  <dimension ref="A1:B71"/>
  <sheetViews>
    <sheetView topLeftCell="A41" workbookViewId="0">
      <selection activeCell="A69" sqref="A69"/>
    </sheetView>
  </sheetViews>
  <sheetFormatPr defaultRowHeight="14.4" x14ac:dyDescent="0.3"/>
  <cols>
    <col min="2" max="2" width="17.44140625" bestFit="1" customWidth="1"/>
  </cols>
  <sheetData>
    <row r="1" spans="1:2" x14ac:dyDescent="0.3">
      <c r="A1" s="5" t="s">
        <v>696</v>
      </c>
      <c r="B1" s="5" t="s">
        <v>697</v>
      </c>
    </row>
    <row r="2" spans="1:2" x14ac:dyDescent="0.3">
      <c r="A2" s="6" t="s">
        <v>698</v>
      </c>
      <c r="B2" s="6" t="s">
        <v>699</v>
      </c>
    </row>
    <row r="3" spans="1:2" x14ac:dyDescent="0.3">
      <c r="A3" s="6" t="s">
        <v>700</v>
      </c>
      <c r="B3" s="6" t="s">
        <v>699</v>
      </c>
    </row>
    <row r="4" spans="1:2" x14ac:dyDescent="0.3">
      <c r="A4" s="6" t="s">
        <v>701</v>
      </c>
      <c r="B4" s="6" t="s">
        <v>699</v>
      </c>
    </row>
    <row r="5" spans="1:2" x14ac:dyDescent="0.3">
      <c r="A5" s="6" t="s">
        <v>702</v>
      </c>
      <c r="B5" s="6" t="s">
        <v>699</v>
      </c>
    </row>
    <row r="6" spans="1:2" x14ac:dyDescent="0.3">
      <c r="A6" s="6" t="s">
        <v>703</v>
      </c>
      <c r="B6" s="6" t="s">
        <v>699</v>
      </c>
    </row>
    <row r="7" spans="1:2" x14ac:dyDescent="0.3">
      <c r="A7" s="6" t="s">
        <v>704</v>
      </c>
      <c r="B7" s="6" t="s">
        <v>699</v>
      </c>
    </row>
    <row r="8" spans="1:2" x14ac:dyDescent="0.3">
      <c r="A8" s="6" t="s">
        <v>705</v>
      </c>
      <c r="B8" s="6" t="s">
        <v>699</v>
      </c>
    </row>
    <row r="9" spans="1:2" x14ac:dyDescent="0.3">
      <c r="A9" s="6" t="s">
        <v>706</v>
      </c>
      <c r="B9" s="6" t="s">
        <v>699</v>
      </c>
    </row>
    <row r="10" spans="1:2" x14ac:dyDescent="0.3">
      <c r="A10" s="6" t="s">
        <v>707</v>
      </c>
      <c r="B10" s="6" t="s">
        <v>699</v>
      </c>
    </row>
    <row r="11" spans="1:2" x14ac:dyDescent="0.3">
      <c r="A11" s="6" t="s">
        <v>708</v>
      </c>
      <c r="B11" s="6" t="s">
        <v>699</v>
      </c>
    </row>
    <row r="12" spans="1:2" x14ac:dyDescent="0.3">
      <c r="A12" s="6" t="s">
        <v>709</v>
      </c>
      <c r="B12" s="6" t="s">
        <v>699</v>
      </c>
    </row>
    <row r="13" spans="1:2" x14ac:dyDescent="0.3">
      <c r="A13" s="6" t="s">
        <v>710</v>
      </c>
      <c r="B13" s="6" t="s">
        <v>699</v>
      </c>
    </row>
    <row r="14" spans="1:2" x14ac:dyDescent="0.3">
      <c r="A14" s="6" t="s">
        <v>711</v>
      </c>
      <c r="B14" s="6" t="s">
        <v>699</v>
      </c>
    </row>
    <row r="15" spans="1:2" x14ac:dyDescent="0.3">
      <c r="A15" s="6" t="s">
        <v>712</v>
      </c>
      <c r="B15" s="6" t="s">
        <v>699</v>
      </c>
    </row>
    <row r="16" spans="1:2" x14ac:dyDescent="0.3">
      <c r="A16" s="6" t="s">
        <v>713</v>
      </c>
      <c r="B16" s="6" t="s">
        <v>699</v>
      </c>
    </row>
    <row r="17" spans="1:2" x14ac:dyDescent="0.3">
      <c r="A17" s="6" t="s">
        <v>714</v>
      </c>
      <c r="B17" s="6" t="s">
        <v>699</v>
      </c>
    </row>
    <row r="18" spans="1:2" x14ac:dyDescent="0.3">
      <c r="A18" s="6" t="s">
        <v>715</v>
      </c>
      <c r="B18" s="6" t="s">
        <v>699</v>
      </c>
    </row>
    <row r="19" spans="1:2" x14ac:dyDescent="0.3">
      <c r="A19" s="6" t="s">
        <v>716</v>
      </c>
      <c r="B19" s="6" t="s">
        <v>717</v>
      </c>
    </row>
    <row r="20" spans="1:2" x14ac:dyDescent="0.3">
      <c r="A20" s="6" t="s">
        <v>718</v>
      </c>
      <c r="B20" s="6" t="s">
        <v>717</v>
      </c>
    </row>
    <row r="21" spans="1:2" x14ac:dyDescent="0.3">
      <c r="A21" s="6" t="s">
        <v>719</v>
      </c>
      <c r="B21" s="6" t="s">
        <v>717</v>
      </c>
    </row>
    <row r="22" spans="1:2" x14ac:dyDescent="0.3">
      <c r="A22" s="6" t="s">
        <v>720</v>
      </c>
      <c r="B22" s="6" t="s">
        <v>717</v>
      </c>
    </row>
    <row r="23" spans="1:2" x14ac:dyDescent="0.3">
      <c r="A23" s="6" t="s">
        <v>721</v>
      </c>
      <c r="B23" s="6" t="s">
        <v>717</v>
      </c>
    </row>
    <row r="24" spans="1:2" x14ac:dyDescent="0.3">
      <c r="A24" s="6" t="s">
        <v>722</v>
      </c>
      <c r="B24" s="6" t="s">
        <v>717</v>
      </c>
    </row>
    <row r="25" spans="1:2" x14ac:dyDescent="0.3">
      <c r="A25" s="6" t="s">
        <v>723</v>
      </c>
      <c r="B25" s="6" t="s">
        <v>717</v>
      </c>
    </row>
    <row r="26" spans="1:2" x14ac:dyDescent="0.3">
      <c r="A26" s="6" t="s">
        <v>724</v>
      </c>
      <c r="B26" s="6" t="s">
        <v>725</v>
      </c>
    </row>
    <row r="27" spans="1:2" x14ac:dyDescent="0.3">
      <c r="A27" s="6" t="s">
        <v>726</v>
      </c>
      <c r="B27" s="6" t="s">
        <v>725</v>
      </c>
    </row>
    <row r="28" spans="1:2" x14ac:dyDescent="0.3">
      <c r="A28" s="6" t="s">
        <v>727</v>
      </c>
      <c r="B28" s="6" t="s">
        <v>725</v>
      </c>
    </row>
    <row r="29" spans="1:2" x14ac:dyDescent="0.3">
      <c r="A29" s="6" t="s">
        <v>728</v>
      </c>
      <c r="B29" s="6" t="s">
        <v>725</v>
      </c>
    </row>
    <row r="30" spans="1:2" x14ac:dyDescent="0.3">
      <c r="A30" s="6" t="s">
        <v>729</v>
      </c>
      <c r="B30" s="6" t="s">
        <v>730</v>
      </c>
    </row>
    <row r="31" spans="1:2" x14ac:dyDescent="0.3">
      <c r="A31" s="6" t="s">
        <v>731</v>
      </c>
      <c r="B31" s="6" t="s">
        <v>730</v>
      </c>
    </row>
    <row r="32" spans="1:2" x14ac:dyDescent="0.3">
      <c r="A32" s="6" t="s">
        <v>732</v>
      </c>
      <c r="B32" s="6" t="s">
        <v>730</v>
      </c>
    </row>
    <row r="33" spans="1:2" x14ac:dyDescent="0.3">
      <c r="A33" s="6" t="s">
        <v>733</v>
      </c>
      <c r="B33" s="6" t="s">
        <v>730</v>
      </c>
    </row>
    <row r="34" spans="1:2" x14ac:dyDescent="0.3">
      <c r="A34" s="6" t="s">
        <v>734</v>
      </c>
      <c r="B34" s="6" t="s">
        <v>730</v>
      </c>
    </row>
    <row r="35" spans="1:2" x14ac:dyDescent="0.3">
      <c r="A35" s="6" t="s">
        <v>735</v>
      </c>
      <c r="B35" s="6" t="s">
        <v>730</v>
      </c>
    </row>
    <row r="36" spans="1:2" x14ac:dyDescent="0.3">
      <c r="A36" s="6" t="s">
        <v>736</v>
      </c>
      <c r="B36" s="6" t="s">
        <v>737</v>
      </c>
    </row>
    <row r="37" spans="1:2" x14ac:dyDescent="0.3">
      <c r="A37" s="6" t="s">
        <v>738</v>
      </c>
      <c r="B37" s="6" t="s">
        <v>737</v>
      </c>
    </row>
    <row r="38" spans="1:2" x14ac:dyDescent="0.3">
      <c r="A38" s="6" t="s">
        <v>739</v>
      </c>
      <c r="B38" s="6" t="s">
        <v>737</v>
      </c>
    </row>
    <row r="39" spans="1:2" x14ac:dyDescent="0.3">
      <c r="A39" s="6" t="s">
        <v>740</v>
      </c>
      <c r="B39" s="6" t="s">
        <v>737</v>
      </c>
    </row>
    <row r="40" spans="1:2" x14ac:dyDescent="0.3">
      <c r="A40" s="6" t="s">
        <v>741</v>
      </c>
      <c r="B40" s="6" t="s">
        <v>737</v>
      </c>
    </row>
    <row r="41" spans="1:2" x14ac:dyDescent="0.3">
      <c r="A41" s="6" t="s">
        <v>742</v>
      </c>
      <c r="B41" s="6" t="s">
        <v>737</v>
      </c>
    </row>
    <row r="42" spans="1:2" x14ac:dyDescent="0.3">
      <c r="A42" s="6" t="s">
        <v>743</v>
      </c>
      <c r="B42" s="6" t="s">
        <v>737</v>
      </c>
    </row>
    <row r="43" spans="1:2" x14ac:dyDescent="0.3">
      <c r="A43" s="6" t="s">
        <v>744</v>
      </c>
      <c r="B43" s="6" t="s">
        <v>737</v>
      </c>
    </row>
    <row r="44" spans="1:2" x14ac:dyDescent="0.3">
      <c r="A44" s="6" t="s">
        <v>745</v>
      </c>
      <c r="B44" s="6" t="s">
        <v>737</v>
      </c>
    </row>
    <row r="45" spans="1:2" x14ac:dyDescent="0.3">
      <c r="A45" s="6" t="s">
        <v>746</v>
      </c>
      <c r="B45" s="6" t="s">
        <v>737</v>
      </c>
    </row>
    <row r="46" spans="1:2" x14ac:dyDescent="0.3">
      <c r="A46" s="6" t="s">
        <v>747</v>
      </c>
      <c r="B46" s="6" t="s">
        <v>748</v>
      </c>
    </row>
    <row r="47" spans="1:2" x14ac:dyDescent="0.3">
      <c r="A47" s="6" t="s">
        <v>749</v>
      </c>
      <c r="B47" s="6" t="s">
        <v>748</v>
      </c>
    </row>
    <row r="48" spans="1:2" x14ac:dyDescent="0.3">
      <c r="A48" s="6" t="s">
        <v>750</v>
      </c>
      <c r="B48" s="6" t="s">
        <v>748</v>
      </c>
    </row>
    <row r="49" spans="1:2" x14ac:dyDescent="0.3">
      <c r="A49" s="6" t="s">
        <v>751</v>
      </c>
      <c r="B49" s="6" t="s">
        <v>748</v>
      </c>
    </row>
    <row r="50" spans="1:2" x14ac:dyDescent="0.3">
      <c r="A50" s="6" t="s">
        <v>752</v>
      </c>
      <c r="B50" s="6" t="s">
        <v>748</v>
      </c>
    </row>
    <row r="51" spans="1:2" x14ac:dyDescent="0.3">
      <c r="A51" s="6" t="s">
        <v>753</v>
      </c>
      <c r="B51" s="6" t="s">
        <v>748</v>
      </c>
    </row>
    <row r="52" spans="1:2" x14ac:dyDescent="0.3">
      <c r="A52" s="6" t="s">
        <v>754</v>
      </c>
      <c r="B52" s="6" t="s">
        <v>748</v>
      </c>
    </row>
    <row r="53" spans="1:2" x14ac:dyDescent="0.3">
      <c r="A53" s="6" t="s">
        <v>755</v>
      </c>
      <c r="B53" s="6" t="s">
        <v>748</v>
      </c>
    </row>
    <row r="54" spans="1:2" x14ac:dyDescent="0.3">
      <c r="A54" s="6" t="s">
        <v>756</v>
      </c>
      <c r="B54" s="6" t="s">
        <v>748</v>
      </c>
    </row>
    <row r="55" spans="1:2" x14ac:dyDescent="0.3">
      <c r="A55" s="6" t="s">
        <v>757</v>
      </c>
      <c r="B55" s="6" t="s">
        <v>758</v>
      </c>
    </row>
    <row r="56" spans="1:2" x14ac:dyDescent="0.3">
      <c r="A56" s="6" t="s">
        <v>759</v>
      </c>
      <c r="B56" s="6" t="s">
        <v>760</v>
      </c>
    </row>
    <row r="57" spans="1:2" x14ac:dyDescent="0.3">
      <c r="A57" s="6" t="s">
        <v>761</v>
      </c>
      <c r="B57" s="6" t="s">
        <v>760</v>
      </c>
    </row>
    <row r="58" spans="1:2" x14ac:dyDescent="0.3">
      <c r="A58" s="6" t="s">
        <v>762</v>
      </c>
      <c r="B58" s="6" t="s">
        <v>760</v>
      </c>
    </row>
    <row r="59" spans="1:2" x14ac:dyDescent="0.3">
      <c r="A59" s="6" t="s">
        <v>763</v>
      </c>
      <c r="B59" s="6" t="s">
        <v>764</v>
      </c>
    </row>
    <row r="60" spans="1:2" x14ac:dyDescent="0.3">
      <c r="A60" s="6" t="s">
        <v>765</v>
      </c>
      <c r="B60" s="6" t="s">
        <v>766</v>
      </c>
    </row>
    <row r="61" spans="1:2" x14ac:dyDescent="0.3">
      <c r="A61" s="6" t="s">
        <v>767</v>
      </c>
      <c r="B61" s="6" t="s">
        <v>766</v>
      </c>
    </row>
    <row r="62" spans="1:2" x14ac:dyDescent="0.3">
      <c r="A62" s="6" t="s">
        <v>768</v>
      </c>
      <c r="B62" s="6" t="s">
        <v>766</v>
      </c>
    </row>
    <row r="63" spans="1:2" x14ac:dyDescent="0.3">
      <c r="A63" s="6" t="s">
        <v>769</v>
      </c>
      <c r="B63" s="6" t="s">
        <v>766</v>
      </c>
    </row>
    <row r="64" spans="1:2" x14ac:dyDescent="0.3">
      <c r="A64" s="6" t="s">
        <v>770</v>
      </c>
      <c r="B64" s="6" t="s">
        <v>766</v>
      </c>
    </row>
    <row r="65" spans="1:2" x14ac:dyDescent="0.3">
      <c r="A65" s="6" t="s">
        <v>771</v>
      </c>
      <c r="B65" s="6" t="s">
        <v>772</v>
      </c>
    </row>
    <row r="66" spans="1:2" x14ac:dyDescent="0.3">
      <c r="A66" s="6" t="s">
        <v>773</v>
      </c>
      <c r="B66" s="6" t="s">
        <v>772</v>
      </c>
    </row>
    <row r="67" spans="1:2" x14ac:dyDescent="0.3">
      <c r="A67" s="6" t="s">
        <v>774</v>
      </c>
      <c r="B67" s="6" t="s">
        <v>772</v>
      </c>
    </row>
    <row r="68" spans="1:2" x14ac:dyDescent="0.3">
      <c r="A68" s="6" t="s">
        <v>775</v>
      </c>
      <c r="B68" s="6" t="s">
        <v>776</v>
      </c>
    </row>
    <row r="69" spans="1:2" x14ac:dyDescent="0.3">
      <c r="A69" s="6" t="s">
        <v>777</v>
      </c>
      <c r="B69" s="6" t="s">
        <v>776</v>
      </c>
    </row>
    <row r="70" spans="1:2" x14ac:dyDescent="0.3">
      <c r="A70" s="6" t="s">
        <v>778</v>
      </c>
      <c r="B70" s="6" t="s">
        <v>779</v>
      </c>
    </row>
    <row r="71" spans="1:2" x14ac:dyDescent="0.3">
      <c r="A71" s="6" t="s">
        <v>780</v>
      </c>
      <c r="B71" s="6" t="s">
        <v>779</v>
      </c>
    </row>
  </sheetData>
  <autoFilter ref="A1:B71" xr:uid="{135A0B56-491A-4D47-BC7A-794206798A1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foodpanda_orders</vt:lpstr>
      <vt:lpstr>Cuisine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Waseef Adnan</cp:lastModifiedBy>
  <dcterms:created xsi:type="dcterms:W3CDTF">2026-05-13T14:42:19Z</dcterms:created>
  <dcterms:modified xsi:type="dcterms:W3CDTF">2026-06-27T20:12:06Z</dcterms:modified>
</cp:coreProperties>
</file>